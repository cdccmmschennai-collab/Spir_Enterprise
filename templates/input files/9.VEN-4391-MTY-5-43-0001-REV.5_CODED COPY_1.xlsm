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mc:AlternateContent xmlns:mc="http://schemas.openxmlformats.org/markup-compatibility/2006">
    <mc:Choice Requires="x15">
      <x15ac:absPath xmlns:x15ac="http://schemas.microsoft.com/office/spreadsheetml/2010/11/ac" url="\\192.168.10.200\CMMS-Main\CMMS-CMN\DISCN\20251229_SPIR TOOL\OK-MULTI MAIN SHEET-COMPLETED\"/>
    </mc:Choice>
  </mc:AlternateContent>
  <xr:revisionPtr revIDLastSave="0" documentId="13_ncr:1_{E01E6AED-3925-4E60-9E20-32CBEA29E915}" xr6:coauthVersionLast="47" xr6:coauthVersionMax="47" xr10:uidLastSave="{00000000-0000-0000-0000-000000000000}"/>
  <bookViews>
    <workbookView xWindow="-120" yWindow="-120" windowWidth="29040" windowHeight="15720" tabRatio="841" activeTab="6" xr2:uid="{00000000-000D-0000-FFFF-FFFF00000000}"/>
  </bookViews>
  <sheets>
    <sheet name="MAIN SHEET" sheetId="2" r:id="rId1"/>
    <sheet name="MAIN SHEET (2)" sheetId="5" r:id="rId2"/>
    <sheet name="MAIN SHEET (3)" sheetId="6" r:id="rId3"/>
    <sheet name="MAIN SHEET (4)" sheetId="7" r:id="rId4"/>
    <sheet name="MAIN SHEET (5)" sheetId="8" r:id="rId5"/>
    <sheet name="MAIN SHEET (6)" sheetId="9" r:id="rId6"/>
    <sheet name="MAIN SHEET (7)" sheetId="10" r:id="rId7"/>
    <sheet name="MAIN SHEET (8)" sheetId="12" r:id="rId8"/>
    <sheet name="MAIN SHEET (9)" sheetId="13" r:id="rId9"/>
    <sheet name="Validation Lists" sheetId="3" state="hidden" r:id="rId10"/>
  </sheets>
  <definedNames>
    <definedName name="_xlnm.Print_Area" localSheetId="0">'MAIN SHEET'!$A$1:$AA$36</definedName>
    <definedName name="_xlnm.Print_Area" localSheetId="1">'MAIN SHEET (2)'!$A$1:$AA$36</definedName>
    <definedName name="_xlnm.Print_Area" localSheetId="2">'MAIN SHEET (3)'!$A$1:$AA$36</definedName>
    <definedName name="_xlnm.Print_Area" localSheetId="3">'MAIN SHEET (4)'!$A$1:$AA$36</definedName>
    <definedName name="_xlnm.Print_Area" localSheetId="4">'MAIN SHEET (5)'!$A$1:$AA$36</definedName>
    <definedName name="_xlnm.Print_Area" localSheetId="5">'MAIN SHEET (6)'!$A$1:$AA$36</definedName>
    <definedName name="_xlnm.Print_Area" localSheetId="6">'MAIN SHEET (7)'!$A$1:$AA$36</definedName>
    <definedName name="_xlnm.Print_Area" localSheetId="7">'MAIN SHEET (8)'!$A$1:$AA$36</definedName>
    <definedName name="_xlnm.Print_Area" localSheetId="8">'MAIN SHEET (9)'!$A$1:$AA$36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8" l="1" a="1"/>
  <c r="H16" i="8" s="1"/>
  <c r="H15" i="8" a="1"/>
  <c r="H15" i="8" s="1"/>
  <c r="H13" i="2" a="1"/>
  <c r="H13" i="2" s="1"/>
  <c r="H12" i="2" a="1"/>
  <c r="H12" i="2" s="1"/>
  <c r="H11" i="2" a="1"/>
  <c r="H11" i="2" s="1"/>
  <c r="H10" i="2" a="1"/>
  <c r="H10" i="2" s="1"/>
  <c r="H9" i="2" a="1"/>
  <c r="H9" i="2" s="1"/>
  <c r="H21" i="13" a="1"/>
  <c r="H21" i="13" s="1"/>
  <c r="H20" i="13" a="1"/>
  <c r="H20" i="13" s="1"/>
  <c r="H19" i="13" a="1"/>
  <c r="H19" i="13" s="1"/>
  <c r="H18" i="13" a="1"/>
  <c r="H18" i="13" s="1"/>
  <c r="H17" i="13" a="1"/>
  <c r="H17" i="13" s="1"/>
  <c r="H16" i="13" a="1"/>
  <c r="H16" i="13" s="1"/>
  <c r="H15" i="13" a="1"/>
  <c r="H15" i="13" s="1"/>
  <c r="H14" i="13" a="1"/>
  <c r="H14" i="13" s="1"/>
  <c r="H13" i="13" a="1"/>
  <c r="H13" i="13" s="1"/>
  <c r="H12" i="13" a="1"/>
  <c r="H12" i="13" s="1"/>
  <c r="H11" i="13" a="1"/>
  <c r="H11" i="13" s="1"/>
  <c r="H10" i="13" a="1"/>
  <c r="H10" i="13" s="1"/>
  <c r="H9" i="13" a="1"/>
  <c r="H9" i="13" s="1"/>
  <c r="H8" i="13" a="1"/>
  <c r="H8" i="13" s="1"/>
  <c r="H20" i="12"/>
  <c r="H20" i="12" a="1"/>
  <c r="H19" i="12" a="1"/>
  <c r="H19" i="12" s="1"/>
  <c r="H18" i="12" a="1"/>
  <c r="H18" i="12" s="1"/>
  <c r="H17" i="12" a="1"/>
  <c r="H17" i="12" s="1"/>
  <c r="H16" i="12" a="1"/>
  <c r="H16" i="12" s="1"/>
  <c r="H15" i="12" a="1"/>
  <c r="H15" i="12" s="1"/>
  <c r="H14" i="12"/>
  <c r="H14" i="12" a="1"/>
  <c r="H13" i="12" a="1"/>
  <c r="H13" i="12" s="1"/>
  <c r="H12" i="12" a="1"/>
  <c r="H12" i="12" s="1"/>
  <c r="H11" i="12" a="1"/>
  <c r="H11" i="12" s="1"/>
  <c r="H10" i="12" a="1"/>
  <c r="H10" i="12" s="1"/>
  <c r="H9" i="12" a="1"/>
  <c r="H9" i="12" s="1"/>
  <c r="H8" i="12"/>
  <c r="H8" i="12" a="1"/>
  <c r="H31" i="10" a="1"/>
  <c r="H31" i="10" s="1"/>
  <c r="H30" i="10" a="1"/>
  <c r="H30" i="10" s="1"/>
  <c r="H29" i="10"/>
  <c r="H29" i="10" a="1"/>
  <c r="H28" i="10" a="1"/>
  <c r="H28" i="10" s="1"/>
  <c r="H27" i="10" a="1"/>
  <c r="H27" i="10" s="1"/>
  <c r="H26" i="10" a="1"/>
  <c r="H26" i="10" s="1"/>
  <c r="H25" i="10" a="1"/>
  <c r="H25" i="10" s="1"/>
  <c r="H24" i="10" a="1"/>
  <c r="H24" i="10" s="1"/>
  <c r="H23" i="10" a="1"/>
  <c r="H23" i="10" s="1"/>
  <c r="H22" i="10" a="1"/>
  <c r="H22" i="10" s="1"/>
  <c r="H21" i="10" a="1"/>
  <c r="H21" i="10" s="1"/>
  <c r="H20" i="10" a="1"/>
  <c r="H20" i="10" s="1"/>
  <c r="H19" i="10" a="1"/>
  <c r="H19" i="10" s="1"/>
  <c r="H18" i="10" a="1"/>
  <c r="H18" i="10" s="1"/>
  <c r="H17" i="10" a="1"/>
  <c r="H17" i="10" s="1"/>
  <c r="H16" i="10" a="1"/>
  <c r="H16" i="10" s="1"/>
  <c r="H15" i="10" a="1"/>
  <c r="H15" i="10" s="1"/>
  <c r="H14" i="10" a="1"/>
  <c r="H14" i="10" s="1"/>
  <c r="H13" i="10" a="1"/>
  <c r="H13" i="10" s="1"/>
  <c r="H12" i="10" a="1"/>
  <c r="H12" i="10" s="1"/>
  <c r="H10" i="10" a="1"/>
  <c r="H10" i="10" s="1"/>
  <c r="H9" i="10" a="1"/>
  <c r="H9" i="10" s="1"/>
  <c r="H8" i="10" a="1"/>
  <c r="H8" i="10" s="1"/>
  <c r="H22" i="9" a="1"/>
  <c r="H22" i="9" s="1"/>
  <c r="H21" i="9" a="1"/>
  <c r="H21" i="9" s="1"/>
  <c r="H20" i="9" a="1"/>
  <c r="H20" i="9" s="1"/>
  <c r="H19" i="9" a="1"/>
  <c r="H19" i="9" s="1"/>
  <c r="H18" i="9" a="1"/>
  <c r="H18" i="9" s="1"/>
  <c r="H17" i="9" a="1"/>
  <c r="H17" i="9" s="1"/>
  <c r="H16" i="9" a="1"/>
  <c r="H16" i="9" s="1"/>
  <c r="H15" i="9" a="1"/>
  <c r="H15" i="9" s="1"/>
  <c r="H14" i="9" a="1"/>
  <c r="H14" i="9" s="1"/>
  <c r="H13" i="9" a="1"/>
  <c r="H13" i="9" s="1"/>
  <c r="H12" i="9" a="1"/>
  <c r="H12" i="9" s="1"/>
  <c r="H11" i="9" a="1"/>
  <c r="H11" i="9" s="1"/>
  <c r="H10" i="9" a="1"/>
  <c r="H10" i="9" s="1"/>
  <c r="H9" i="9" a="1"/>
  <c r="H9" i="9" s="1"/>
  <c r="H8" i="9" a="1"/>
  <c r="H8" i="9" s="1"/>
  <c r="H31" i="8" a="1"/>
  <c r="H31" i="8" s="1"/>
  <c r="H30" i="8" a="1"/>
  <c r="H30" i="8" s="1"/>
  <c r="H29" i="8" a="1"/>
  <c r="H29" i="8" s="1"/>
  <c r="H28" i="8" a="1"/>
  <c r="H28" i="8" s="1"/>
  <c r="H27" i="8" a="1"/>
  <c r="H27" i="8" s="1"/>
  <c r="H26" i="8" a="1"/>
  <c r="H26" i="8" s="1"/>
  <c r="H25" i="8" a="1"/>
  <c r="H25" i="8" s="1"/>
  <c r="H24" i="8" a="1"/>
  <c r="H24" i="8" s="1"/>
  <c r="H23" i="8" a="1"/>
  <c r="H23" i="8" s="1"/>
  <c r="H22" i="8" a="1"/>
  <c r="H22" i="8" s="1"/>
  <c r="H21" i="8" a="1"/>
  <c r="H21" i="8" s="1"/>
  <c r="H20" i="8" a="1"/>
  <c r="H20" i="8" s="1"/>
  <c r="H19" i="8" a="1"/>
  <c r="H19" i="8" s="1"/>
  <c r="H18" i="8" a="1"/>
  <c r="H18" i="8" s="1"/>
  <c r="H17" i="8" a="1"/>
  <c r="H17" i="8" s="1"/>
  <c r="H14" i="8" a="1"/>
  <c r="H14" i="8" s="1"/>
  <c r="H13" i="8" a="1"/>
  <c r="H13" i="8" s="1"/>
  <c r="H12" i="8" a="1"/>
  <c r="H12" i="8" s="1"/>
  <c r="H11" i="8" a="1"/>
  <c r="H11" i="8" s="1"/>
  <c r="H10" i="8" a="1"/>
  <c r="H10" i="8" s="1"/>
  <c r="H9" i="8" a="1"/>
  <c r="H9" i="8" s="1"/>
  <c r="H8" i="8" a="1"/>
  <c r="H8" i="8" s="1"/>
  <c r="H22" i="7" a="1"/>
  <c r="H22" i="7" s="1"/>
  <c r="H21" i="7" a="1"/>
  <c r="H21" i="7" s="1"/>
  <c r="H20" i="7"/>
  <c r="H20" i="7" a="1"/>
  <c r="H19" i="7" a="1"/>
  <c r="H19" i="7" s="1"/>
  <c r="H18" i="7" a="1"/>
  <c r="H18" i="7" s="1"/>
  <c r="H17" i="7" a="1"/>
  <c r="H17" i="7" s="1"/>
  <c r="H16" i="7" a="1"/>
  <c r="H16" i="7" s="1"/>
  <c r="H15" i="7" a="1"/>
  <c r="H15" i="7" s="1"/>
  <c r="H14" i="7"/>
  <c r="H14" i="7" a="1"/>
  <c r="H13" i="7" a="1"/>
  <c r="H13" i="7" s="1"/>
  <c r="H12" i="7" a="1"/>
  <c r="H12" i="7" s="1"/>
  <c r="H11" i="7" a="1"/>
  <c r="H11" i="7" s="1"/>
  <c r="H10" i="7" a="1"/>
  <c r="H10" i="7" s="1"/>
  <c r="H9" i="7" a="1"/>
  <c r="H9" i="7" s="1"/>
  <c r="H8" i="7" a="1"/>
  <c r="H8" i="7" s="1"/>
  <c r="H31" i="6" a="1"/>
  <c r="H31" i="6" s="1"/>
  <c r="H30" i="6" a="1"/>
  <c r="H30" i="6" s="1"/>
  <c r="H29" i="6" a="1"/>
  <c r="H29" i="6" s="1"/>
  <c r="H28" i="6" a="1"/>
  <c r="H28" i="6" s="1"/>
  <c r="H27" i="6" a="1"/>
  <c r="H27" i="6" s="1"/>
  <c r="H26" i="6" a="1"/>
  <c r="H26" i="6" s="1"/>
  <c r="H25" i="6" a="1"/>
  <c r="H25" i="6" s="1"/>
  <c r="H24" i="6" a="1"/>
  <c r="H24" i="6" s="1"/>
  <c r="H23" i="6" a="1"/>
  <c r="H23" i="6" s="1"/>
  <c r="H22" i="6" a="1"/>
  <c r="H22" i="6" s="1"/>
  <c r="H21" i="6" a="1"/>
  <c r="H21" i="6" s="1"/>
  <c r="H20" i="6" a="1"/>
  <c r="H20" i="6" s="1"/>
  <c r="H19" i="6" a="1"/>
  <c r="H19" i="6" s="1"/>
  <c r="H18" i="6" a="1"/>
  <c r="H18" i="6" s="1"/>
  <c r="H17" i="6" a="1"/>
  <c r="H17" i="6" s="1"/>
  <c r="H16" i="6" a="1"/>
  <c r="H16" i="6" s="1"/>
  <c r="H15" i="6" a="1"/>
  <c r="H15" i="6" s="1"/>
  <c r="H14" i="6" a="1"/>
  <c r="H14" i="6" s="1"/>
  <c r="H13" i="6" a="1"/>
  <c r="H13" i="6" s="1"/>
  <c r="H12" i="6" a="1"/>
  <c r="H12" i="6" s="1"/>
  <c r="H11" i="6" a="1"/>
  <c r="H11" i="6" s="1"/>
  <c r="H10" i="6" a="1"/>
  <c r="H10" i="6" s="1"/>
  <c r="H9" i="6" a="1"/>
  <c r="H9" i="6" s="1"/>
  <c r="H8" i="6" a="1"/>
  <c r="H8" i="6" s="1"/>
  <c r="H23" i="5" a="1"/>
  <c r="H23" i="5" s="1"/>
  <c r="H22" i="5" a="1"/>
  <c r="H22" i="5" s="1"/>
  <c r="H21" i="5" a="1"/>
  <c r="H21" i="5" s="1"/>
  <c r="H20" i="5" a="1"/>
  <c r="H20" i="5" s="1"/>
  <c r="H19" i="5" a="1"/>
  <c r="H19" i="5" s="1"/>
  <c r="H18" i="5"/>
  <c r="H18" i="5" a="1"/>
  <c r="H17" i="5" a="1"/>
  <c r="H17" i="5" s="1"/>
  <c r="H16" i="5" a="1"/>
  <c r="H16" i="5" s="1"/>
  <c r="H15" i="5" a="1"/>
  <c r="H15" i="5" s="1"/>
  <c r="H14" i="5" a="1"/>
  <c r="H14" i="5" s="1"/>
  <c r="H13" i="5" a="1"/>
  <c r="H13" i="5" s="1"/>
  <c r="H12" i="5"/>
  <c r="H12" i="5" a="1"/>
  <c r="H11" i="5" a="1"/>
  <c r="H11" i="5" s="1"/>
  <c r="H10" i="5" a="1"/>
  <c r="H10" i="5" s="1"/>
  <c r="H9" i="5" a="1"/>
  <c r="H9" i="5" s="1"/>
  <c r="H8" i="5" a="1"/>
  <c r="H8" i="5" s="1"/>
  <c r="H31" i="2" a="1"/>
  <c r="H31" i="2" s="1"/>
  <c r="H30" i="2" a="1"/>
  <c r="H30" i="2" s="1"/>
  <c r="H29" i="2" a="1"/>
  <c r="H29" i="2" s="1"/>
  <c r="H28" i="2" a="1"/>
  <c r="H28" i="2" s="1"/>
  <c r="H27" i="2" a="1"/>
  <c r="H27" i="2" s="1"/>
  <c r="H26" i="2" a="1"/>
  <c r="H26" i="2" s="1"/>
  <c r="H25" i="2" a="1"/>
  <c r="H25" i="2" s="1"/>
  <c r="H24" i="2" a="1"/>
  <c r="H24" i="2" s="1"/>
  <c r="H23" i="2" a="1"/>
  <c r="H23" i="2" s="1"/>
  <c r="H22" i="2" a="1"/>
  <c r="H22" i="2" s="1"/>
  <c r="H21" i="2" a="1"/>
  <c r="H21" i="2" s="1"/>
  <c r="H20" i="2" a="1"/>
  <c r="H20" i="2" s="1"/>
  <c r="H19" i="2" a="1"/>
  <c r="H19" i="2" s="1"/>
  <c r="H18" i="2" a="1"/>
  <c r="H18" i="2" s="1"/>
  <c r="H17" i="2" a="1"/>
  <c r="H17" i="2" s="1"/>
  <c r="H16" i="2" a="1"/>
  <c r="H16" i="2" s="1"/>
  <c r="H15" i="2" a="1"/>
  <c r="H15" i="2" s="1"/>
  <c r="H14" i="2" a="1"/>
  <c r="H14" i="2" s="1"/>
  <c r="H8" i="2" a="1"/>
  <c r="H8"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00000000-0006-0000-0000-000001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2AEF0348-6F52-411D-AF36-4683B8A64ACF}">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1" authorId="0" shapeId="0" xr:uid="{9785B67F-1FF1-4EC0-9D49-BAA2287F198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C2C49CC8-41B9-4AAC-BED8-BAE3E9065DA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C6539B9D-2D30-42FB-A521-0D98E64580F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4" authorId="0" shapeId="0" xr:uid="{43F93047-41ED-46D4-8F9F-1C43E76A922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5" authorId="0" shapeId="0" xr:uid="{03DF5625-90CB-4EA5-AA33-35A019AE7F1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594D096E-C469-4A52-A48C-E932DFF40AE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588FF940-4E45-4101-81CE-AF3860FAC26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8" authorId="0" shapeId="0" xr:uid="{5BE66BED-77BE-4AAF-BE4E-3B2B674C61D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9" authorId="0" shapeId="0" xr:uid="{2476BDAA-C6B7-4DDA-87CF-F88E5563629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0" authorId="0" shapeId="0" xr:uid="{1A89F4FE-91BE-44C8-ADBC-0E79C5F35F3A}">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1" authorId="0" shapeId="0" xr:uid="{3F07DDE1-E15C-469F-9D42-3B968E89610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AC189E64-E1EF-46D7-BF9E-F632FE55006F}">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FEDB416C-EFC3-4E5D-B3B3-6ED4E35BE79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749F822B-C61A-4184-9801-770D0498E88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74A71510-6981-48CE-84A7-70A679ED9CBB}">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00000000-0006-0000-0000-000013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00000000-0006-0000-0000-000014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00000000-0006-0000-0000-000015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00000000-0006-0000-0000-000016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0" authorId="0" shapeId="0" xr:uid="{00000000-0006-0000-0000-000017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1" authorId="0" shapeId="0" xr:uid="{00000000-0006-0000-0000-000018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00000000-0006-0000-0100-000001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9" authorId="0" shapeId="0" xr:uid="{00000000-0006-0000-0100-000002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00000000-0006-0000-0100-000003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1" authorId="0" shapeId="0" xr:uid="{00000000-0006-0000-0100-000004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00000000-0006-0000-0100-000005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00000000-0006-0000-0100-000006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4" authorId="0" shapeId="0" xr:uid="{00000000-0006-0000-0100-000007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5" authorId="0" shapeId="0" xr:uid="{00000000-0006-0000-0100-000008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00000000-0006-0000-0100-000009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00000000-0006-0000-0100-00000A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8" authorId="0" shapeId="0" xr:uid="{00000000-0006-0000-0100-00000B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9" authorId="0" shapeId="0" xr:uid="{00000000-0006-0000-0100-00000C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0" authorId="0" shapeId="0" xr:uid="{00000000-0006-0000-0100-00000D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1" authorId="0" shapeId="0" xr:uid="{00000000-0006-0000-0100-00000E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00000000-0006-0000-0100-00000F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00000000-0006-0000-0100-000010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00000000-0006-0000-0100-000011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00000000-0006-0000-0100-000012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00000000-0006-0000-0100-000013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00000000-0006-0000-0100-000014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00000000-0006-0000-0100-000015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00000000-0006-0000-0100-000016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0" authorId="0" shapeId="0" xr:uid="{00000000-0006-0000-0100-000017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1" authorId="0" shapeId="0" xr:uid="{00000000-0006-0000-0100-000018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00000000-0006-0000-0200-000001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9" authorId="0" shapeId="0" xr:uid="{526C2B1D-091F-49CF-8C32-F16EF2DD7F2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06596B42-ECA4-4891-8E19-296679DEC7A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1" authorId="0" shapeId="0" xr:uid="{AA798960-6EAF-4542-A1B4-D08DA0261B1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8F5306B4-AD50-4592-808D-A5C67592554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13842D0B-F3C1-4100-935B-8EFE45C0B14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5" authorId="0" shapeId="0" xr:uid="{D94BD1AF-ECEE-43C7-9CB7-A2221918180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0422E53A-98E5-4B2A-B5A1-729D8C88842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8BAF8735-5651-45D5-9A57-F4E236B36E7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8" authorId="0" shapeId="0" xr:uid="{6963449F-CDC9-456B-B1B9-F6351795111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9" authorId="0" shapeId="0" xr:uid="{83014927-7A2A-4DAF-8450-953F99401CF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0" authorId="0" shapeId="0" xr:uid="{39AC97D7-A685-4036-B259-8CBE8EF5954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1" authorId="0" shapeId="0" xr:uid="{CF7B6A35-245C-4B36-87CA-9C948B77790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8812032F-1BFB-4EBF-AB01-3CDF22D8A0D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7C33B850-C2B1-4FC4-8184-9B35F176B36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2EC462E4-CB26-41AF-BF61-CDE626044C5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81AB510A-1714-4E01-A5C2-3FEFAF21FBA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28368DA3-41C7-4A59-B209-EC40D1C8DA2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07046AAE-B44D-4046-BD2A-0FB6C970938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00000000-0006-0000-0200-000015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00000000-0006-0000-0200-000016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0" authorId="0" shapeId="0" xr:uid="{00000000-0006-0000-0200-000017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1" authorId="0" shapeId="0" xr:uid="{00000000-0006-0000-0200-0000180000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C71A4808-7CF3-4D23-86F3-8BBC08145CD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9" authorId="0" shapeId="0" xr:uid="{5B1377C3-88B8-4BB0-AD04-044F5F39F83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E4FDF33E-C161-416E-B287-3BAE1834A91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1" authorId="0" shapeId="0" xr:uid="{1E5F4D92-5370-4ED9-B725-0A91325428B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0ED2AE61-29CB-412E-8D1B-33194324D9F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2EB6E46B-5473-4E90-912B-EF16F3F5112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4" authorId="0" shapeId="0" xr:uid="{31A0C0EA-5E7C-4BC5-92D3-C5901FCC842B}">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3067DB50-B544-4631-9E33-74A30A8394A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3EF56639-C062-43C2-BCE3-3FE9F1B83FA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8" authorId="0" shapeId="0" xr:uid="{A49993F1-0878-43CF-A4CE-2CE438D0F02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1" authorId="0" shapeId="0" xr:uid="{EF09DD0D-B50D-4E78-B0F4-9ED72961A7F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D4F69B01-8C39-442D-A321-259132D7380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7F021926-6E28-4AFE-9F61-53458910D1F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79526B0E-C4BA-4D58-B217-BAE312CBD6F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1CACC04C-0875-42FD-B41F-BC0FF1AEE52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383C0CC8-FE79-42DD-9310-769A2669123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47231FF7-532F-4BEF-9B21-137991EBB5D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F6BE50D4-C0FD-408A-B68E-A7EDC54A8C1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741A0884-E36A-4FAF-B925-B65F18392A3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0" authorId="0" shapeId="0" xr:uid="{A5BD0C23-7774-470A-8D57-695632473FE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1" authorId="0" shapeId="0" xr:uid="{4ECD88C9-8864-4295-89F3-76AD99699BA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989C58CB-CAC3-4396-885D-BE56CD99A19F}">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013796D1-4A3B-4695-94B4-8C83FEA5AFD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966CD7A7-ECAA-4771-9959-4FE6C4419FC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B472DCD0-462C-4140-8EDF-7AC127D39F7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4" authorId="0" shapeId="0" xr:uid="{B59C3E3F-4EFF-43DB-894F-545231D41E4F}">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5" authorId="0" shapeId="0" xr:uid="{2B5B5C89-0E4E-4DBF-BE45-F784545D31D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C550F640-DB04-423F-AB6D-F797DA77073B}">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08518D08-23E7-405D-BABE-815B89A111F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8" authorId="0" shapeId="0" xr:uid="{BE746373-F524-4EE6-AE27-EC01F6D719E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9" authorId="0" shapeId="0" xr:uid="{7CDC76B1-D2FD-4224-8F01-71AF3861671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0" authorId="0" shapeId="0" xr:uid="{2EF76CD6-A487-4A46-A16D-5C3EE96B6AA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1" authorId="0" shapeId="0" xr:uid="{B4F65EF0-C06D-4881-B7E6-CC8F1C1555C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0A8B4F8B-6692-4782-9DE7-39FCF769538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150215FA-B60F-4D77-A455-B83B30854F0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D107FE5D-DC36-4EAD-BEAC-705FEB65789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C2CCDA2C-9926-441B-8D8F-0D59A461B67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9AC2FB2D-5066-4B81-B88E-687EE8BC960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F8B9577C-2FC8-4B0C-BF8C-A9B8C3C5B52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38BBCCDC-744D-4EEF-A41E-5C5E44A0797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C0C0CE93-C77A-47BC-8057-00618EC05E6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0" authorId="0" shapeId="0" xr:uid="{E06DF1EE-0A2D-4F13-A9BE-E0A4894006F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1" authorId="0" shapeId="0" xr:uid="{BFEA2F0F-BABC-49D5-B7A0-1C9132F7B66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9" authorId="0" shapeId="0" xr:uid="{14EFC3C4-867F-4FE9-8CC7-7C40F280857A}">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17400AF6-C733-4754-BA9E-8113468207A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1" authorId="0" shapeId="0" xr:uid="{CBE6D66F-E2BA-4512-A597-1B7D5FE5370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5C487635-5224-46F1-A01D-FB564D6B96B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091D0E37-BE88-41AE-9F2F-3DC68A9B5E9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4" authorId="0" shapeId="0" xr:uid="{8E55F4D4-EA68-40B7-BF5C-D3FA9972064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5" authorId="0" shapeId="0" xr:uid="{33EF3512-454F-46AC-8A66-F16176EBC00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1666904A-33C4-4A52-8DCE-6C3A9366CB2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6705EC5E-D796-4CB1-9A2F-DED142F9A07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8" authorId="0" shapeId="0" xr:uid="{BA058C3C-4473-472C-997D-F889C4839C0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1" authorId="0" shapeId="0" xr:uid="{91E46A74-4ADD-4AC2-8338-6059DA2DE61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34E44731-6BC7-41D4-9C5D-7C73A90DA3F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98F64431-D7EA-4F7B-B32E-B1BCD9B9FA8F}">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80EB14CA-9E87-4C3F-B297-C22B0A304F5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D0AF6704-EE9F-4AE5-B148-C7E71B63067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D555AA71-39FF-4B64-B3CF-4935C12C7A5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92E84509-5275-42C9-B4B3-44629FB4A52A}">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0AE3F431-A847-497C-8B75-00698D31563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783A6769-F120-4503-A321-1A907ACA4E1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0" authorId="0" shapeId="0" xr:uid="{707ACF4E-3B60-48FB-B08D-C027F3D09A0A}">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1" authorId="0" shapeId="0" xr:uid="{7DCC41B9-956C-4ACA-B8EA-2007C9C8659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CDFB0194-8978-4029-8544-41EF5BA1823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9" authorId="0" shapeId="0" xr:uid="{4BD89179-F7D7-462E-BC02-E3E25F1D212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B5E9B5DD-465D-40C0-9661-304E8E956C9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284D88D7-485B-48BB-9A32-22FC3B5FDBE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A6B54128-9DB3-45CD-969E-B154306DE4A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4" authorId="0" shapeId="0" xr:uid="{7FC0962E-1816-4B57-BBBB-2FB52ED300D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5" authorId="0" shapeId="0" xr:uid="{84B25CB1-BF7B-4A7F-AD02-3595C605977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270B6442-195C-429B-B125-0827D26296CF}">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4A6B7AEA-02C1-4B13-A301-48261FFE772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8" authorId="0" shapeId="0" xr:uid="{411EC10A-88DA-4E57-86B3-AB4718E1B04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9" authorId="0" shapeId="0" xr:uid="{140AE4E4-2D56-4119-8D97-CD3E332CB58F}">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0" authorId="0" shapeId="0" xr:uid="{6006F16C-5624-4000-8958-601604005BF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1" authorId="0" shapeId="0" xr:uid="{BF247F9C-E794-4AA6-A135-3F241BDA7F9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5E5802DF-E5E3-4FBD-87F5-F9EA757680E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BCE1A068-5236-4A89-B178-001FDF28CFBB}">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96D0E30F-A712-4FA8-840D-1C7253FCF31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0C911070-D2FF-4A85-BB39-6579BB21CE9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B5717E1E-8924-4A2A-87A3-E4EC2F8E557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435ABC37-3693-4B91-819B-5E9DEF9D438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63DAB05E-64A8-4981-8C82-4F2C86ABBC4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B99B4AF0-3F7B-46E2-8C31-45892CAD18C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1" authorId="0" shapeId="0" xr:uid="{C0C80C32-ADA4-4A86-98BB-F37C785115CB}">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77A25215-2FC5-4B1E-8AC5-82933255AD8A}">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9" authorId="0" shapeId="0" xr:uid="{DF658F46-5113-4CD5-B130-1E79DDDF0A6B}">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E1D6D065-4C38-42F8-93BB-C1FE4AF8615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1" authorId="0" shapeId="0" xr:uid="{33411672-16E2-4038-A13D-D3DFAB32B1DB}">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C43E807F-13B7-49BD-B8DE-ECFB9A33CC5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32A05C26-C8E5-4352-806C-6BC75C495F6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4" authorId="0" shapeId="0" xr:uid="{D731CC57-DD5F-440A-B802-B12E830E30C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5" authorId="0" shapeId="0" xr:uid="{0E70A839-64CA-4378-8DB6-0C84B9BF3A8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ED7B2B8A-E3AF-452E-A50C-FCF2D5B3CE0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9" authorId="0" shapeId="0" xr:uid="{BA98DC41-1BF7-4456-96AB-56350A83906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0" authorId="0" shapeId="0" xr:uid="{285D6885-5DC7-4288-B4A1-C6D1AAADDB08}">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1" authorId="0" shapeId="0" xr:uid="{4271B8E3-6340-4D60-8E52-8BAD06501A2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5347CBA0-77CD-48E0-9A4B-A2F8EB13491A}">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D4962DEC-95C7-4815-9CF7-FC0E76D9D09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87FB5A9F-69B0-4B7E-B644-67285BCC22F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92A43E1C-9032-4E39-B2B3-6535AFC1AA2F}">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DFB21813-5A5F-41DF-90E4-25CBFFFE189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6DB82616-166B-4FBC-B9DE-3D7AAD74F6E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339ACD49-495B-4CE9-9B0D-E8EDEE2B344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9003A9A7-4F20-4B27-A9B8-175BE0D1237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0" authorId="0" shapeId="0" xr:uid="{05748D16-E71D-4484-AC63-9D3665DE57E1}">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Keron Kyle Matthews</author>
  </authors>
  <commentList>
    <comment ref="P8" authorId="0" shapeId="0" xr:uid="{B79965F4-9A81-4489-912F-459B3AC5070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9" authorId="0" shapeId="0" xr:uid="{38F5FA42-80F0-4EC3-8758-B1D3C13BCF9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0" authorId="0" shapeId="0" xr:uid="{C9CDDB38-9926-4C82-97FE-07AAB92361A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1" authorId="0" shapeId="0" xr:uid="{0C317732-6293-41EA-99DC-7270AF98FCF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2" authorId="0" shapeId="0" xr:uid="{01055B30-EC16-4148-9392-64B28EC39C1E}">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3" authorId="0" shapeId="0" xr:uid="{B1DEB2AF-5970-4FFA-90A2-F5EF52C3828A}">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4" authorId="0" shapeId="0" xr:uid="{9B73C35B-CB7A-4D4D-90A6-217EBCAC99E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5" authorId="0" shapeId="0" xr:uid="{DB893F21-37D1-4C89-A3B3-292E3F465FAF}">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6" authorId="0" shapeId="0" xr:uid="{527A7133-FE79-4E29-AB7F-74F519C826F7}">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7" authorId="0" shapeId="0" xr:uid="{B7B55A6E-C262-4299-9E9C-DD0F979ECEA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8" authorId="0" shapeId="0" xr:uid="{8356E158-4A67-41FB-A05F-8B277A7D6AEA}">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19" authorId="0" shapeId="0" xr:uid="{79BAB8A2-44B9-47C7-9A1B-F3ECEF35EEA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0" authorId="0" shapeId="0" xr:uid="{C925A761-CEE2-4D79-BE14-463C46031442}">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2" authorId="0" shapeId="0" xr:uid="{1F77EF0F-C61C-45DF-8B0B-4158049209E9}">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3" authorId="0" shapeId="0" xr:uid="{97DA5BC8-02ED-4407-9CB4-721DDAA039BD}">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4" authorId="0" shapeId="0" xr:uid="{740047B1-7A1E-47E0-ADA5-0907D412F4AC}">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5" authorId="0" shapeId="0" xr:uid="{86E44F35-6D4D-4F31-817E-DB5FB40AC016}">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6" authorId="0" shapeId="0" xr:uid="{33F70DE0-C045-4C13-A4BB-C2316270CCC4}">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7" authorId="0" shapeId="0" xr:uid="{36A54B99-2902-4069-9682-9A720197F7E3}">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8" authorId="0" shapeId="0" xr:uid="{1BE2988B-B230-4B1D-848A-13E4EC8EAEFF}">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29" authorId="0" shapeId="0" xr:uid="{400B9328-06B5-4BC7-BFFB-A12E11653195}">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 ref="P30" authorId="0" shapeId="0" xr:uid="{D78D7408-373A-48E2-B4BC-745B25B6A890}">
      <text>
        <r>
          <rPr>
            <sz val="5"/>
            <color indexed="81"/>
            <rFont val="Arial"/>
            <family val="2"/>
          </rPr>
          <t>1. Select the cell into which you want to insert your file.
2. Click on the "Insert" tab.
3. Click on "Object" under the "Text" group.
4. Select "Create from File" tab.
5. Browse your file.
6. Select the "Display as icon" checkbox.
7. Click on "OK"</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<sst xmlns="http://schemas.openxmlformats.org/spreadsheetml/2006/main" count="3890" uniqueCount="1401">
  <si>
    <t>23 - AUTHORITY BLOCK.</t>
  </si>
  <si>
    <t>EQUIPMENT:</t>
  </si>
  <si>
    <t>REF INDICATOR DATE &amp; SIGN'RE:</t>
  </si>
  <si>
    <r>
      <t>MANUFACTURER</t>
    </r>
    <r>
      <rPr>
        <sz val="8"/>
        <color indexed="10"/>
        <rFont val="Arial"/>
        <family val="2"/>
      </rPr>
      <t>:</t>
    </r>
  </si>
  <si>
    <t>24 - REQUIRED ON SITE DATE:-</t>
  </si>
  <si>
    <r>
      <t>SUPPLIER</t>
    </r>
    <r>
      <rPr>
        <sz val="8"/>
        <color indexed="10"/>
        <rFont val="Arial"/>
        <family val="2"/>
      </rPr>
      <t>:</t>
    </r>
  </si>
  <si>
    <t xml:space="preserve"> </t>
  </si>
  <si>
    <t>MANUFACTURERS/SUPPLIERS DATA (see note 5)</t>
  </si>
  <si>
    <t>INITIAL SPARE PARTS</t>
  </si>
  <si>
    <t>SPARE PARTS FOR NORMAL OPERATION</t>
  </si>
  <si>
    <t>MFR SER'L NO.</t>
  </si>
  <si>
    <t>ITEM NUMBER</t>
  </si>
  <si>
    <t>TOTAL NO. OF IDENTICAL PARTS FITTED</t>
  </si>
  <si>
    <t>DESCRIPTION OF PARTS             (SEE NOTE 1)</t>
  </si>
  <si>
    <t>DWG No. INCL POS'N No.</t>
  </si>
  <si>
    <t>MANUFACTURER PART NUMBER    (SEE NOTE 2)</t>
  </si>
  <si>
    <t>SUPPLIERS PART NUMBER           (SEE NOTE 3)</t>
  </si>
  <si>
    <t xml:space="preserve"> RECOMMENDED BY .MANUFACTURER</t>
  </si>
  <si>
    <t xml:space="preserve">  RECOMMENDED  .BY:…..</t>
  </si>
  <si>
    <t xml:space="preserve">  RECOMMENDED .BY:…..</t>
  </si>
  <si>
    <t>DELIVERY TIME IN WEEKS</t>
  </si>
  <si>
    <t>UNIT  OF MEASURE</t>
  </si>
  <si>
    <t>No. OF UNITS</t>
  </si>
  <si>
    <t>10A</t>
  </si>
  <si>
    <t>10B</t>
  </si>
  <si>
    <t>IT</t>
  </si>
  <si>
    <t>UN</t>
  </si>
  <si>
    <t>ER</t>
  </si>
  <si>
    <t xml:space="preserve">     P</t>
  </si>
  <si>
    <t>RTS</t>
  </si>
  <si>
    <t>PA</t>
  </si>
  <si>
    <t>OF</t>
  </si>
  <si>
    <t>No.</t>
  </si>
  <si>
    <t>PROJECT/PLANT  :</t>
  </si>
  <si>
    <t>ISSUE LETTER:</t>
  </si>
  <si>
    <t>NO.</t>
  </si>
  <si>
    <t>COMPANY           :</t>
  </si>
  <si>
    <t>ISSUE DATE:</t>
  </si>
  <si>
    <t>ENGINEERING BY:</t>
  </si>
  <si>
    <t>SIGNATURE:</t>
  </si>
  <si>
    <r>
      <t>REMINDER</t>
    </r>
    <r>
      <rPr>
        <sz val="6.5"/>
        <color indexed="32"/>
        <rFont val="Small Fonts"/>
        <family val="2"/>
      </rPr>
      <t xml:space="preserve">  MANUFACTURER TO ATTACH TO THIS FORM ALL DRAWINGS AND PARTS LISTS INCLUDING</t>
    </r>
  </si>
  <si>
    <t xml:space="preserve">SHEET No: </t>
  </si>
  <si>
    <t xml:space="preserve"> EQUIP</t>
  </si>
  <si>
    <t>TECHNICAL DATA SHEETS TO ENABLE CORRECT IDENTIFICATION OF THE MATERIAL</t>
  </si>
  <si>
    <t>REQUISITION No:</t>
  </si>
  <si>
    <t>SAP NUMBER</t>
  </si>
  <si>
    <t>CLASSIFICATION OF PARTS</t>
  </si>
  <si>
    <t>QUANTITIES IN COL:……….  ARE AUTHORISED FOR PURCHASE BY:-</t>
  </si>
  <si>
    <t>ORDER</t>
  </si>
  <si>
    <t>REF</t>
  </si>
  <si>
    <r>
      <t xml:space="preserve"> </t>
    </r>
    <r>
      <rPr>
        <b/>
        <u/>
        <sz val="8"/>
        <color indexed="48"/>
        <rFont val="Desdemona"/>
      </rPr>
      <t>PROPOSAL NUMBER</t>
    </r>
  </si>
  <si>
    <t>MANUFACTURERS/SUPPLIERS FOCAL POINT INCLUDING   
E-MAIL/ TEL/FAX NO:</t>
  </si>
  <si>
    <t>MIN/MAX STOCK LVLS QTY</t>
  </si>
  <si>
    <t>25 SPIR NUMBER:</t>
  </si>
  <si>
    <t>QatarEnergy</t>
  </si>
  <si>
    <t xml:space="preserve">SPARE PARTS &amp; INTERCHANGEABILITY RECORD(SPIR)
</t>
  </si>
  <si>
    <t>Currency Codes</t>
  </si>
  <si>
    <t>AED</t>
  </si>
  <si>
    <t>AFN</t>
  </si>
  <si>
    <t>ALL</t>
  </si>
  <si>
    <t>AMD</t>
  </si>
  <si>
    <t>ANG</t>
  </si>
  <si>
    <t>AOA</t>
  </si>
  <si>
    <t>ARS</t>
  </si>
  <si>
    <t>AUD</t>
  </si>
  <si>
    <t>AWG</t>
  </si>
  <si>
    <t>AZN</t>
  </si>
  <si>
    <t>BAM</t>
  </si>
  <si>
    <t>BBD</t>
  </si>
  <si>
    <t>BDT</t>
  </si>
  <si>
    <t>BGN</t>
  </si>
  <si>
    <t>BHD</t>
  </si>
  <si>
    <t>BIF</t>
  </si>
  <si>
    <t>BMD</t>
  </si>
  <si>
    <t>BND</t>
  </si>
  <si>
    <t>BOB</t>
  </si>
  <si>
    <t>BOV</t>
  </si>
  <si>
    <t>BRL</t>
  </si>
  <si>
    <t>BSD</t>
  </si>
  <si>
    <t>BTN</t>
  </si>
  <si>
    <t>BWP</t>
  </si>
  <si>
    <t>BYN</t>
  </si>
  <si>
    <t>BZD</t>
  </si>
  <si>
    <t>CAD</t>
  </si>
  <si>
    <t>CDF</t>
  </si>
  <si>
    <t>CHE</t>
  </si>
  <si>
    <t>CHF</t>
  </si>
  <si>
    <t>CHW</t>
  </si>
  <si>
    <t>CLF</t>
  </si>
  <si>
    <t>CLP</t>
  </si>
  <si>
    <t>CNY</t>
  </si>
  <si>
    <t>COP</t>
  </si>
  <si>
    <t>COU</t>
  </si>
  <si>
    <t>CRC</t>
  </si>
  <si>
    <t>CUC</t>
  </si>
  <si>
    <t>CUP</t>
  </si>
  <si>
    <t>CVE</t>
  </si>
  <si>
    <t>CZK</t>
  </si>
  <si>
    <t>DJF</t>
  </si>
  <si>
    <t>DKK</t>
  </si>
  <si>
    <t>DOP</t>
  </si>
  <si>
    <t>DZD</t>
  </si>
  <si>
    <t>EGP</t>
  </si>
  <si>
    <t>ERN</t>
  </si>
  <si>
    <t>ETB</t>
  </si>
  <si>
    <t>EUR</t>
  </si>
  <si>
    <t>FJD</t>
  </si>
  <si>
    <t>FKP</t>
  </si>
  <si>
    <t>GBP</t>
  </si>
  <si>
    <t>GEL</t>
  </si>
  <si>
    <t>GHS</t>
  </si>
  <si>
    <t>GIP</t>
  </si>
  <si>
    <t>GMD</t>
  </si>
  <si>
    <t>GNF</t>
  </si>
  <si>
    <t>GTQ</t>
  </si>
  <si>
    <t>GYD</t>
  </si>
  <si>
    <t>HKD</t>
  </si>
  <si>
    <t>HNL</t>
  </si>
  <si>
    <t>HRK</t>
  </si>
  <si>
    <t>HTG</t>
  </si>
  <si>
    <t>HUF</t>
  </si>
  <si>
    <t>IDR</t>
  </si>
  <si>
    <t>ILS</t>
  </si>
  <si>
    <t>INR</t>
  </si>
  <si>
    <t>IQD</t>
  </si>
  <si>
    <t>IRR</t>
  </si>
  <si>
    <t>ISK</t>
  </si>
  <si>
    <t>JMD</t>
  </si>
  <si>
    <t>JOD</t>
  </si>
  <si>
    <t>JPY</t>
  </si>
  <si>
    <t>KES</t>
  </si>
  <si>
    <t>KGS</t>
  </si>
  <si>
    <t>KHR</t>
  </si>
  <si>
    <t>KMF</t>
  </si>
  <si>
    <t>KPW</t>
  </si>
  <si>
    <t>KRW</t>
  </si>
  <si>
    <t>KWD</t>
  </si>
  <si>
    <t>KYD</t>
  </si>
  <si>
    <t>KZT</t>
  </si>
  <si>
    <t>LAK</t>
  </si>
  <si>
    <t>LBP</t>
  </si>
  <si>
    <t>LKR</t>
  </si>
  <si>
    <t>LRD</t>
  </si>
  <si>
    <t>LSL</t>
  </si>
  <si>
    <t>LYD</t>
  </si>
  <si>
    <t>MAD</t>
  </si>
  <si>
    <t>MDL</t>
  </si>
  <si>
    <t>MGA</t>
  </si>
  <si>
    <t>MKD</t>
  </si>
  <si>
    <t>MMK</t>
  </si>
  <si>
    <t>MNT</t>
  </si>
  <si>
    <t>MOP</t>
  </si>
  <si>
    <t>MRU</t>
  </si>
  <si>
    <t>MUR</t>
  </si>
  <si>
    <t>MVR</t>
  </si>
  <si>
    <t>MWK</t>
  </si>
  <si>
    <t>MXN</t>
  </si>
  <si>
    <t>MXV</t>
  </si>
  <si>
    <t>MYR</t>
  </si>
  <si>
    <t>MZN</t>
  </si>
  <si>
    <t>NAD</t>
  </si>
  <si>
    <t>NGN</t>
  </si>
  <si>
    <t>NIO</t>
  </si>
  <si>
    <t>NOK</t>
  </si>
  <si>
    <t>NPR</t>
  </si>
  <si>
    <t>NZD</t>
  </si>
  <si>
    <t>OMR</t>
  </si>
  <si>
    <t>PAB</t>
  </si>
  <si>
    <t>PEN</t>
  </si>
  <si>
    <t>PGK</t>
  </si>
  <si>
    <t>PHP</t>
  </si>
  <si>
    <t>PKR</t>
  </si>
  <si>
    <t>PLN</t>
  </si>
  <si>
    <t>PYG</t>
  </si>
  <si>
    <t>QAR</t>
  </si>
  <si>
    <t>RON</t>
  </si>
  <si>
    <t>RSD</t>
  </si>
  <si>
    <t>RUB</t>
  </si>
  <si>
    <t>RWF</t>
  </si>
  <si>
    <t>SAR</t>
  </si>
  <si>
    <t>SBD</t>
  </si>
  <si>
    <t>SCR</t>
  </si>
  <si>
    <t>SDG</t>
  </si>
  <si>
    <t>SEK</t>
  </si>
  <si>
    <t>SGD</t>
  </si>
  <si>
    <t>SHP</t>
  </si>
  <si>
    <t>SLL</t>
  </si>
  <si>
    <t>SOS</t>
  </si>
  <si>
    <t>SRD</t>
  </si>
  <si>
    <t>SSP</t>
  </si>
  <si>
    <t>STN</t>
  </si>
  <si>
    <t>SVC</t>
  </si>
  <si>
    <t>SYP</t>
  </si>
  <si>
    <t>SZL</t>
  </si>
  <si>
    <t>THB</t>
  </si>
  <si>
    <t>TJS</t>
  </si>
  <si>
    <t>TMT</t>
  </si>
  <si>
    <t>TND</t>
  </si>
  <si>
    <t>TOP</t>
  </si>
  <si>
    <t>TRY</t>
  </si>
  <si>
    <t>TTD</t>
  </si>
  <si>
    <t>TWD</t>
  </si>
  <si>
    <t>TZS</t>
  </si>
  <si>
    <t>UAH</t>
  </si>
  <si>
    <t>UGX</t>
  </si>
  <si>
    <t>USD</t>
  </si>
  <si>
    <t>USN</t>
  </si>
  <si>
    <t>UYI</t>
  </si>
  <si>
    <t>UYU</t>
  </si>
  <si>
    <t>UYW</t>
  </si>
  <si>
    <t>UZS</t>
  </si>
  <si>
    <t>VED</t>
  </si>
  <si>
    <t>VES</t>
  </si>
  <si>
    <t>VND</t>
  </si>
  <si>
    <t>VUV</t>
  </si>
  <si>
    <t>WST</t>
  </si>
  <si>
    <t>XAF</t>
  </si>
  <si>
    <t>XAG</t>
  </si>
  <si>
    <t>XAU</t>
  </si>
  <si>
    <t>XBA</t>
  </si>
  <si>
    <t>XBB</t>
  </si>
  <si>
    <t>XBC</t>
  </si>
  <si>
    <t>XBD</t>
  </si>
  <si>
    <t>XCD</t>
  </si>
  <si>
    <t>XDR</t>
  </si>
  <si>
    <t>XOF</t>
  </si>
  <si>
    <t>XPD</t>
  </si>
  <si>
    <t>XPF</t>
  </si>
  <si>
    <t>XUA</t>
  </si>
  <si>
    <t>YER</t>
  </si>
  <si>
    <t>ZAR</t>
  </si>
  <si>
    <t>ZMW</t>
  </si>
  <si>
    <t>ZWL</t>
  </si>
  <si>
    <t>%</t>
  </si>
  <si>
    <t>%O</t>
  </si>
  <si>
    <t>D</t>
  </si>
  <si>
    <t>CMS</t>
  </si>
  <si>
    <t>µL</t>
  </si>
  <si>
    <t>µF</t>
  </si>
  <si>
    <t>PO</t>
  </si>
  <si>
    <t>GOH</t>
  </si>
  <si>
    <t>GM3</t>
  </si>
  <si>
    <t>ACR</t>
  </si>
  <si>
    <t>AM</t>
  </si>
  <si>
    <t>API</t>
  </si>
  <si>
    <t>B/F</t>
  </si>
  <si>
    <t>B16</t>
  </si>
  <si>
    <t>KD3</t>
  </si>
  <si>
    <t>QML</t>
  </si>
  <si>
    <t>NI</t>
  </si>
  <si>
    <t>MN</t>
  </si>
  <si>
    <t>MGO</t>
  </si>
  <si>
    <t>MHV</t>
  </si>
  <si>
    <t>µA</t>
  </si>
  <si>
    <t>BAG</t>
  </si>
  <si>
    <t>BAY</t>
  </si>
  <si>
    <t>BB6</t>
  </si>
  <si>
    <t>BBL</t>
  </si>
  <si>
    <t>BC1</t>
  </si>
  <si>
    <t>BC2</t>
  </si>
  <si>
    <t>BC3</t>
  </si>
  <si>
    <t>BC4</t>
  </si>
  <si>
    <t>BC5</t>
  </si>
  <si>
    <t>BC6</t>
  </si>
  <si>
    <t>BHP</t>
  </si>
  <si>
    <t>BOE</t>
  </si>
  <si>
    <t>BT</t>
  </si>
  <si>
    <t>BOX</t>
  </si>
  <si>
    <t>BPI</t>
  </si>
  <si>
    <t>BPM</t>
  </si>
  <si>
    <t>BTU</t>
  </si>
  <si>
    <t>RF</t>
  </si>
  <si>
    <t>M/M</t>
  </si>
  <si>
    <t>M/L</t>
  </si>
  <si>
    <t>NA</t>
  </si>
  <si>
    <t>C3S</t>
  </si>
  <si>
    <t>R-U</t>
  </si>
  <si>
    <t>NMM</t>
  </si>
  <si>
    <t>CBM</t>
  </si>
  <si>
    <t>CCM</t>
  </si>
  <si>
    <t>CD3</t>
  </si>
  <si>
    <t>CEL</t>
  </si>
  <si>
    <t>CM</t>
  </si>
  <si>
    <t>CM2</t>
  </si>
  <si>
    <t>CS</t>
  </si>
  <si>
    <t>CL</t>
  </si>
  <si>
    <t>CYL</t>
  </si>
  <si>
    <t>A/V</t>
  </si>
  <si>
    <t>TOM</t>
  </si>
  <si>
    <t>VA</t>
  </si>
  <si>
    <t>RDY</t>
  </si>
  <si>
    <t>DB</t>
  </si>
  <si>
    <t>DEG</t>
  </si>
  <si>
    <t>DM</t>
  </si>
  <si>
    <t>DR</t>
  </si>
  <si>
    <t>DZ</t>
  </si>
  <si>
    <t>EA</t>
  </si>
  <si>
    <t>EU</t>
  </si>
  <si>
    <t>EML</t>
  </si>
  <si>
    <t>FT</t>
  </si>
  <si>
    <t>FT2</t>
  </si>
  <si>
    <t>FT3</t>
  </si>
  <si>
    <t>G</t>
  </si>
  <si>
    <t>G/L</t>
  </si>
  <si>
    <t>GAU</t>
  </si>
  <si>
    <t>FY</t>
  </si>
  <si>
    <t>GL</t>
  </si>
  <si>
    <t>GLI</t>
  </si>
  <si>
    <t>GAL</t>
  </si>
  <si>
    <t>GPM</t>
  </si>
  <si>
    <t>GM</t>
  </si>
  <si>
    <t>GM2</t>
  </si>
  <si>
    <t>BPH</t>
  </si>
  <si>
    <t>µGQ</t>
  </si>
  <si>
    <t>GRO</t>
  </si>
  <si>
    <t>GRT</t>
  </si>
  <si>
    <t>GI</t>
  </si>
  <si>
    <t>H</t>
  </si>
  <si>
    <t>HA</t>
  </si>
  <si>
    <t>HCM</t>
  </si>
  <si>
    <t>HL</t>
  </si>
  <si>
    <t>HP</t>
  </si>
  <si>
    <t>OH</t>
  </si>
  <si>
    <t>Inch</t>
  </si>
  <si>
    <t>Square inch</t>
  </si>
  <si>
    <t>Cubic inch</t>
  </si>
  <si>
    <t>IND</t>
  </si>
  <si>
    <t>INM</t>
  </si>
  <si>
    <t>YR</t>
  </si>
  <si>
    <t>JKG</t>
  </si>
  <si>
    <t>JM3</t>
  </si>
  <si>
    <t>JMO</t>
  </si>
  <si>
    <t>JOB</t>
  </si>
  <si>
    <t>JOM</t>
  </si>
  <si>
    <t>JR</t>
  </si>
  <si>
    <t>JT</t>
  </si>
  <si>
    <t>JUM</t>
  </si>
  <si>
    <t>CAN</t>
  </si>
  <si>
    <t>CAR</t>
  </si>
  <si>
    <t>KG</t>
  </si>
  <si>
    <t>KGM</t>
  </si>
  <si>
    <t>KGV</t>
  </si>
  <si>
    <t>KAI</t>
  </si>
  <si>
    <t>CRT</t>
  </si>
  <si>
    <t>KIT</t>
  </si>
  <si>
    <t>KJK</t>
  </si>
  <si>
    <t>KJM</t>
  </si>
  <si>
    <t>KKH</t>
  </si>
  <si>
    <t>KM</t>
  </si>
  <si>
    <t>KM2</t>
  </si>
  <si>
    <t>KM3</t>
  </si>
  <si>
    <t>KMH</t>
  </si>
  <si>
    <t>KMN</t>
  </si>
  <si>
    <t>KMS</t>
  </si>
  <si>
    <t>KNM</t>
  </si>
  <si>
    <t>KPA</t>
  </si>
  <si>
    <t>KT</t>
  </si>
  <si>
    <t>KVA</t>
  </si>
  <si>
    <t>KWH</t>
  </si>
  <si>
    <t>KIK</t>
  </si>
  <si>
    <t>L</t>
  </si>
  <si>
    <t>L12</t>
  </si>
  <si>
    <t>L15</t>
  </si>
  <si>
    <t>LMI</t>
  </si>
  <si>
    <t>L60</t>
  </si>
  <si>
    <t>LB</t>
  </si>
  <si>
    <t>LBM</t>
  </si>
  <si>
    <t>LHK</t>
  </si>
  <si>
    <t>LI</t>
  </si>
  <si>
    <t>LMS</t>
  </si>
  <si>
    <t>LOT</t>
  </si>
  <si>
    <t>LPH</t>
  </si>
  <si>
    <t>LS</t>
  </si>
  <si>
    <t>LTO</t>
  </si>
  <si>
    <t>M</t>
  </si>
  <si>
    <t>M/F</t>
  </si>
  <si>
    <t>M/S</t>
  </si>
  <si>
    <t>M2</t>
  </si>
  <si>
    <t>M2D</t>
  </si>
  <si>
    <t>M-2</t>
  </si>
  <si>
    <t>M2S</t>
  </si>
  <si>
    <t>M3</t>
  </si>
  <si>
    <t>M3D</t>
  </si>
  <si>
    <t>M3M</t>
  </si>
  <si>
    <t>M3S</t>
  </si>
  <si>
    <t>MAM</t>
  </si>
  <si>
    <t>MBD</t>
  </si>
  <si>
    <t>MBT</t>
  </si>
  <si>
    <t>MBW</t>
  </si>
  <si>
    <t>MC1</t>
  </si>
  <si>
    <t>MC2</t>
  </si>
  <si>
    <t>MC3</t>
  </si>
  <si>
    <t>MCD</t>
  </si>
  <si>
    <t>MCF</t>
  </si>
  <si>
    <t>MCM</t>
  </si>
  <si>
    <t>MDY</t>
  </si>
  <si>
    <t>MEJ</t>
  </si>
  <si>
    <t>MG</t>
  </si>
  <si>
    <t>MGL</t>
  </si>
  <si>
    <t>MGQ</t>
  </si>
  <si>
    <t>MI</t>
  </si>
  <si>
    <t>MIL</t>
  </si>
  <si>
    <t>MIN</t>
  </si>
  <si>
    <t>MIS</t>
  </si>
  <si>
    <t>MJM</t>
  </si>
  <si>
    <t>ML</t>
  </si>
  <si>
    <t>MLI</t>
  </si>
  <si>
    <t>MM</t>
  </si>
  <si>
    <t>MM2</t>
  </si>
  <si>
    <t>MMM</t>
  </si>
  <si>
    <t>MM3</t>
  </si>
  <si>
    <t>MNM</t>
  </si>
  <si>
    <t>MOM</t>
  </si>
  <si>
    <t>MON</t>
  </si>
  <si>
    <t>MPG</t>
  </si>
  <si>
    <t>MPS</t>
  </si>
  <si>
    <t>M3H</t>
  </si>
  <si>
    <t>MS</t>
  </si>
  <si>
    <t>MS2</t>
  </si>
  <si>
    <t>M/H</t>
  </si>
  <si>
    <t>PCT</t>
  </si>
  <si>
    <t>MWH</t>
  </si>
  <si>
    <t>NAM</t>
  </si>
  <si>
    <t>NM</t>
  </si>
  <si>
    <t>NO</t>
  </si>
  <si>
    <t>NRT</t>
  </si>
  <si>
    <t>NS</t>
  </si>
  <si>
    <t>OZ</t>
  </si>
  <si>
    <t>FOZ</t>
  </si>
  <si>
    <t>P</t>
  </si>
  <si>
    <t>PAA</t>
  </si>
  <si>
    <t>PAC</t>
  </si>
  <si>
    <t>PAL</t>
  </si>
  <si>
    <t>PAS</t>
  </si>
  <si>
    <t>PMI</t>
  </si>
  <si>
    <t>PPB</t>
  </si>
  <si>
    <t>PPM</t>
  </si>
  <si>
    <t>PPT</t>
  </si>
  <si>
    <t>PRS</t>
  </si>
  <si>
    <t>PS</t>
  </si>
  <si>
    <t>PSI</t>
  </si>
  <si>
    <t>PSL</t>
  </si>
  <si>
    <t>PT</t>
  </si>
  <si>
    <t>PTB</t>
  </si>
  <si>
    <t>QLY</t>
  </si>
  <si>
    <t>QMM</t>
  </si>
  <si>
    <t>QT</t>
  </si>
  <si>
    <t>RDA</t>
  </si>
  <si>
    <t>RDW</t>
  </si>
  <si>
    <t>RHO</t>
  </si>
  <si>
    <t>RL</t>
  </si>
  <si>
    <t>RM</t>
  </si>
  <si>
    <t>ROL</t>
  </si>
  <si>
    <t>RPM</t>
  </si>
  <si>
    <t>SCF</t>
  </si>
  <si>
    <t>SET</t>
  </si>
  <si>
    <t>SKB</t>
  </si>
  <si>
    <t>SKG</t>
  </si>
  <si>
    <t>SKO</t>
  </si>
  <si>
    <t>SKP</t>
  </si>
  <si>
    <t>SKR</t>
  </si>
  <si>
    <t>SM3</t>
  </si>
  <si>
    <t>PC</t>
  </si>
  <si>
    <t>HR</t>
  </si>
  <si>
    <t>STO</t>
  </si>
  <si>
    <t>STP</t>
  </si>
  <si>
    <t>DAY</t>
  </si>
  <si>
    <t>TBD</t>
  </si>
  <si>
    <t>TBL</t>
  </si>
  <si>
    <t>TS</t>
  </si>
  <si>
    <t>TIN</t>
  </si>
  <si>
    <t>TO</t>
  </si>
  <si>
    <t>TON</t>
  </si>
  <si>
    <t>TRP</t>
  </si>
  <si>
    <t>UG6</t>
  </si>
  <si>
    <t>UGL</t>
  </si>
  <si>
    <t>MSC</t>
  </si>
  <si>
    <t>MPL</t>
  </si>
  <si>
    <t>VAL</t>
  </si>
  <si>
    <t>VDY</t>
  </si>
  <si>
    <t>VL</t>
  </si>
  <si>
    <t>WK</t>
  </si>
  <si>
    <t>YD</t>
  </si>
  <si>
    <t>YD2</t>
  </si>
  <si>
    <t>YD3</t>
  </si>
  <si>
    <t>001</t>
  </si>
  <si>
    <t>UoM (SAP)</t>
  </si>
  <si>
    <t>Classification List</t>
  </si>
  <si>
    <t>Certification List</t>
  </si>
  <si>
    <t>X - Third Party Insp.</t>
  </si>
  <si>
    <t>M - Material Cert.</t>
  </si>
  <si>
    <t>N - None</t>
  </si>
  <si>
    <t>O - Others (e.g. Certificate of conformity/calibration)</t>
  </si>
  <si>
    <t>EQUIPMENT  TAG No</t>
  </si>
  <si>
    <t>MFR TYPE OR MODEL NUMBER</t>
  </si>
  <si>
    <t>Andoran peseta</t>
  </si>
  <si>
    <t>United Arab Emirates Dirham</t>
  </si>
  <si>
    <t>Afghani</t>
  </si>
  <si>
    <t>Albanian Lek</t>
  </si>
  <si>
    <t>Armenian Dram</t>
  </si>
  <si>
    <t>West Indian Guilder</t>
  </si>
  <si>
    <t>Angolan New Kwanza</t>
  </si>
  <si>
    <t>Angolan Kwanza Reajustado</t>
  </si>
  <si>
    <t>Argentine Peso</t>
  </si>
  <si>
    <t>Austrian Schilling</t>
  </si>
  <si>
    <t>Australian Dollar</t>
  </si>
  <si>
    <t>Aruban Guilder</t>
  </si>
  <si>
    <t>Azerbaijan Manat - Old</t>
  </si>
  <si>
    <t>Azerbaijan Manat</t>
  </si>
  <si>
    <t>Bosnia and Herzegovina Convertible Mark</t>
  </si>
  <si>
    <t>Barbados Dollar</t>
  </si>
  <si>
    <t>Bangladesh Taka</t>
  </si>
  <si>
    <t>Belgian Franc</t>
  </si>
  <si>
    <t>Bulgarian Lev</t>
  </si>
  <si>
    <t>Bahrain Dinar</t>
  </si>
  <si>
    <t>Burundi Franc</t>
  </si>
  <si>
    <t>Bermudan Dollar</t>
  </si>
  <si>
    <t>Brunei Dollar</t>
  </si>
  <si>
    <t>Boliviano</t>
  </si>
  <si>
    <t>Brazilian Real</t>
  </si>
  <si>
    <t>Bahaman Dollar</t>
  </si>
  <si>
    <t>Bhutan Ngultrum</t>
  </si>
  <si>
    <t>Botswana Pula</t>
  </si>
  <si>
    <t>Belorussian Ruble</t>
  </si>
  <si>
    <t>Belize Dollar</t>
  </si>
  <si>
    <t>Canadian Dollar</t>
  </si>
  <si>
    <t>French Franc (Pacific Islands)</t>
  </si>
  <si>
    <t>Swiss Franc</t>
  </si>
  <si>
    <t>Chilean Peso</t>
  </si>
  <si>
    <t>Chinese Renminbi</t>
  </si>
  <si>
    <t>Colombian Peso</t>
  </si>
  <si>
    <t>Costa Rica Colon</t>
  </si>
  <si>
    <t>Cuban Peso</t>
  </si>
  <si>
    <t>Cape Verde Escudo</t>
  </si>
  <si>
    <t>Cyprus Pound</t>
  </si>
  <si>
    <t>Czech Krona</t>
  </si>
  <si>
    <t>German Mark</t>
  </si>
  <si>
    <t>(Internal) German Mark (3 dec.places)</t>
  </si>
  <si>
    <t>Djibouti Franc</t>
  </si>
  <si>
    <t>Danish Krone</t>
  </si>
  <si>
    <t>Dominican Peso</t>
  </si>
  <si>
    <t>Algerian Dinar</t>
  </si>
  <si>
    <t>Ecuadorian Sucre</t>
  </si>
  <si>
    <t>Estonian Krone</t>
  </si>
  <si>
    <t>Egyptian Pound</t>
  </si>
  <si>
    <t>Eritrean Nafka</t>
  </si>
  <si>
    <t>Spanish Peseta</t>
  </si>
  <si>
    <t>Ethiopian Birr</t>
  </si>
  <si>
    <t>European Euro</t>
  </si>
  <si>
    <t>Finnish markka</t>
  </si>
  <si>
    <t>Fiji Dollar</t>
  </si>
  <si>
    <t>Falkland Pound</t>
  </si>
  <si>
    <t>French Franc</t>
  </si>
  <si>
    <t>British Pound</t>
  </si>
  <si>
    <t>Georgian Lari</t>
  </si>
  <si>
    <t>Ghanian Cedi</t>
  </si>
  <si>
    <t>Gibraltar Pound</t>
  </si>
  <si>
    <t>Gambian Dalasi</t>
  </si>
  <si>
    <t>Guinean Franc</t>
  </si>
  <si>
    <t>Greek Drachma</t>
  </si>
  <si>
    <t>Guatemalan Quetzal</t>
  </si>
  <si>
    <t>Guinea Peso</t>
  </si>
  <si>
    <t>Guyana Dollar</t>
  </si>
  <si>
    <t>Hong Kong Dollar</t>
  </si>
  <si>
    <t>Honduran Lempira</t>
  </si>
  <si>
    <t>Croatian Kuna</t>
  </si>
  <si>
    <t>Haitian Gourde</t>
  </si>
  <si>
    <t>Hungarian Forint</t>
  </si>
  <si>
    <t>Indonesian Rupiah</t>
  </si>
  <si>
    <t>Irish Punt</t>
  </si>
  <si>
    <t>Israeli Scheckel</t>
  </si>
  <si>
    <t>Indian Rupee</t>
  </si>
  <si>
    <t>Iraqui Dinar</t>
  </si>
  <si>
    <t>Iranian Rial</t>
  </si>
  <si>
    <t>Iceland Krona</t>
  </si>
  <si>
    <t>Italian Lira</t>
  </si>
  <si>
    <t>Jamaican Dollar</t>
  </si>
  <si>
    <t>Jordanian Dinar</t>
  </si>
  <si>
    <t>Japanese Yen</t>
  </si>
  <si>
    <t>Kenyan Shilling</t>
  </si>
  <si>
    <t>Kyrgyzstan Som</t>
  </si>
  <si>
    <t>Cambodian Riel</t>
  </si>
  <si>
    <t>Comoros Franc</t>
  </si>
  <si>
    <t>North Korean Won</t>
  </si>
  <si>
    <t>South Korean Won</t>
  </si>
  <si>
    <t>Kuwaiti Dinar</t>
  </si>
  <si>
    <t>Cayman Dollar</t>
  </si>
  <si>
    <t>Kazakstanian Tenge</t>
  </si>
  <si>
    <t>Laotian Kip</t>
  </si>
  <si>
    <t>Lebanese Pound</t>
  </si>
  <si>
    <t>Sri Lankan Rupee</t>
  </si>
  <si>
    <t>Liberian Dollar</t>
  </si>
  <si>
    <t>Lesotho Loti</t>
  </si>
  <si>
    <t>Lithuanian Lita</t>
  </si>
  <si>
    <t>Luxembourg Franc</t>
  </si>
  <si>
    <t>Latvian Lat</t>
  </si>
  <si>
    <t>Libyan Dinar</t>
  </si>
  <si>
    <t>Moroccan Dirham</t>
  </si>
  <si>
    <t>Moldavian Leu</t>
  </si>
  <si>
    <t>Madagascan Franc</t>
  </si>
  <si>
    <t>Macedonian Denar</t>
  </si>
  <si>
    <t>Myanmar Kyat</t>
  </si>
  <si>
    <t>Mongolian Tugrik</t>
  </si>
  <si>
    <t>Macao Pataca</t>
  </si>
  <si>
    <t>Mauritanian Ouguiya</t>
  </si>
  <si>
    <t>Maltese Lira</t>
  </si>
  <si>
    <t>Mauritian Rupee</t>
  </si>
  <si>
    <t>Maldive Rufiyaa</t>
  </si>
  <si>
    <t>Malawi Kwacha</t>
  </si>
  <si>
    <t>Mexican Pesos</t>
  </si>
  <si>
    <t>Malaysian Ringgit</t>
  </si>
  <si>
    <t>Mozambique Metical</t>
  </si>
  <si>
    <t>Namibian Dollar</t>
  </si>
  <si>
    <t>Nigerian Naira</t>
  </si>
  <si>
    <t>Nicaraguan Cordoba Oro</t>
  </si>
  <si>
    <t>Dutch Guilder</t>
  </si>
  <si>
    <t>Norwegian Krone</t>
  </si>
  <si>
    <t>Nepalese Rupee</t>
  </si>
  <si>
    <t>New Zealand Dollars</t>
  </si>
  <si>
    <t>Omani Rial</t>
  </si>
  <si>
    <t>Panamanian Balboa</t>
  </si>
  <si>
    <t>Peruvian New Sol</t>
  </si>
  <si>
    <t>Papua New Guinea Kina</t>
  </si>
  <si>
    <t>Philippine Peso</t>
  </si>
  <si>
    <t>Pakistani Rupee</t>
  </si>
  <si>
    <t>Polish Zloty (new)</t>
  </si>
  <si>
    <t>Portuguese Escudo</t>
  </si>
  <si>
    <t>Paraguayan Guarani</t>
  </si>
  <si>
    <t>Qatar Riyal</t>
  </si>
  <si>
    <t>Chinese Yuan Renminbi</t>
  </si>
  <si>
    <t>Romanian Leu</t>
  </si>
  <si>
    <t>Russian Ruble</t>
  </si>
  <si>
    <t>Rwandan Franc</t>
  </si>
  <si>
    <t>Saudi Riyal</t>
  </si>
  <si>
    <t>Solomon Islands Dollar</t>
  </si>
  <si>
    <t>Seychelles Rupee</t>
  </si>
  <si>
    <t>Sudanese Pound</t>
  </si>
  <si>
    <t>Swedish Krona</t>
  </si>
  <si>
    <t>Singapore Dollar</t>
  </si>
  <si>
    <t>St.Helena Pound</t>
  </si>
  <si>
    <t>Slovenian Tolar</t>
  </si>
  <si>
    <t>Slovakian Krona</t>
  </si>
  <si>
    <t>Sierra Leone Leone</t>
  </si>
  <si>
    <t>Somalian Shilling</t>
  </si>
  <si>
    <t>Surinam Guilder</t>
  </si>
  <si>
    <t>Sao Tome / Principe Dobra</t>
  </si>
  <si>
    <t>El Salvador Colon</t>
  </si>
  <si>
    <t>Syrian Pound</t>
  </si>
  <si>
    <t>Swaziland Lilangeni</t>
  </si>
  <si>
    <t>Thailand Baht</t>
  </si>
  <si>
    <t>Tajikistani Ruble</t>
  </si>
  <si>
    <t>Turkmenistani Manat</t>
  </si>
  <si>
    <t>Tunisian Dinar</t>
  </si>
  <si>
    <t>Tongan Pa'anga</t>
  </si>
  <si>
    <t>Timor Escudo</t>
  </si>
  <si>
    <t>Turkish Lira</t>
  </si>
  <si>
    <t>Trinidad and Tobago Dollar</t>
  </si>
  <si>
    <t>New Taiwan Dollar</t>
  </si>
  <si>
    <t>Tanzanian Shilling</t>
  </si>
  <si>
    <t>Ukraine Hryvnia</t>
  </si>
  <si>
    <t>Ugandan Shilling</t>
  </si>
  <si>
    <t>United States Dollar</t>
  </si>
  <si>
    <t>Uruguayan Peso (new)</t>
  </si>
  <si>
    <t>Uzbekistan Som</t>
  </si>
  <si>
    <t>Venezuelan Bolivar</t>
  </si>
  <si>
    <t>Vietnamese Dong</t>
  </si>
  <si>
    <t>Vanuatu Vatu</t>
  </si>
  <si>
    <t>Samoan Tala</t>
  </si>
  <si>
    <t>Gabon CFA Franc BEAC</t>
  </si>
  <si>
    <t>East Carribean Dollar</t>
  </si>
  <si>
    <t>St. Christopher Dollar</t>
  </si>
  <si>
    <t>European Currency Unit (E.C.U.)</t>
  </si>
  <si>
    <t>Benin CFA Franc BCEAO</t>
  </si>
  <si>
    <t>CFP Franc</t>
  </si>
  <si>
    <t>Yemeni Ryal</t>
  </si>
  <si>
    <t>New Yugoslavian Dinar</t>
  </si>
  <si>
    <t>South African Rand</t>
  </si>
  <si>
    <t>Zambian Kwacha</t>
  </si>
  <si>
    <t>Zaire</t>
  </si>
  <si>
    <t>Zimbabwean Dollar</t>
  </si>
  <si>
    <t>ADP</t>
  </si>
  <si>
    <t>AFA</t>
  </si>
  <si>
    <t>AON</t>
  </si>
  <si>
    <t>AOR</t>
  </si>
  <si>
    <t>ATS</t>
  </si>
  <si>
    <t>AZM</t>
  </si>
  <si>
    <t>BEF</t>
  </si>
  <si>
    <t>BYB</t>
  </si>
  <si>
    <t>CFP</t>
  </si>
  <si>
    <t>CYP</t>
  </si>
  <si>
    <t>DEM</t>
  </si>
  <si>
    <t>DEM3</t>
  </si>
  <si>
    <t>ECS</t>
  </si>
  <si>
    <t>EEK</t>
  </si>
  <si>
    <t>ESP</t>
  </si>
  <si>
    <t>FIM</t>
  </si>
  <si>
    <t>FRF</t>
  </si>
  <si>
    <t>GHC</t>
  </si>
  <si>
    <t>GRD</t>
  </si>
  <si>
    <t>GWP</t>
  </si>
  <si>
    <t>IEP</t>
  </si>
  <si>
    <t>ITL</t>
  </si>
  <si>
    <t>LTL</t>
  </si>
  <si>
    <t>LUF</t>
  </si>
  <si>
    <t>LVL</t>
  </si>
  <si>
    <t>MGF</t>
  </si>
  <si>
    <t>MRO</t>
  </si>
  <si>
    <t>MTL</t>
  </si>
  <si>
    <t>MZM</t>
  </si>
  <si>
    <t>NLG</t>
  </si>
  <si>
    <t>PTE</t>
  </si>
  <si>
    <t>RMB</t>
  </si>
  <si>
    <t>SDP</t>
  </si>
  <si>
    <t>SIT</t>
  </si>
  <si>
    <t>SKK</t>
  </si>
  <si>
    <t>SRG</t>
  </si>
  <si>
    <t>STD</t>
  </si>
  <si>
    <t>TJR</t>
  </si>
  <si>
    <t>TMM</t>
  </si>
  <si>
    <t>TPE</t>
  </si>
  <si>
    <t>TRL</t>
  </si>
  <si>
    <t>VEB</t>
  </si>
  <si>
    <t>XDS</t>
  </si>
  <si>
    <t>XEU</t>
  </si>
  <si>
    <t>YUM</t>
  </si>
  <si>
    <t>ZMK</t>
  </si>
  <si>
    <t>ZRN</t>
  </si>
  <si>
    <t>ZWD</t>
  </si>
  <si>
    <t>Commercial</t>
  </si>
  <si>
    <t>Measurement unit text</t>
  </si>
  <si>
    <t>11A</t>
  </si>
  <si>
    <t>11B</t>
  </si>
  <si>
    <t xml:space="preserve">MATERIAL SPEC'N  </t>
  </si>
  <si>
    <t>MATERIAL CERTIFICATION</t>
  </si>
  <si>
    <r>
      <t xml:space="preserve">NOTE 1 </t>
    </r>
    <r>
      <rPr>
        <b/>
        <sz val="5"/>
        <color rgb="FFFF0000"/>
        <rFont val="Arial"/>
        <family val="2"/>
      </rPr>
      <t>-</t>
    </r>
    <r>
      <rPr>
        <sz val="5"/>
        <color rgb="FFFF0000"/>
        <rFont val="Arial"/>
        <family val="2"/>
      </rPr>
      <t xml:space="preserve">  IF AN ITEM IS INTERCHANGEABLE BETWEEN TWO OR MORE MODELS OR TYPES, LIST IT ONLY ONCE AS A LINE ITEM BUT    INDICATE AS SUCH IN   COLUMN 5 UNDER EACH MODEL/TYPE IN ROW 2.
</t>
    </r>
    <r>
      <rPr>
        <b/>
        <u/>
        <sz val="5"/>
        <color rgb="FFFF0000"/>
        <rFont val="Arial"/>
        <family val="2"/>
      </rPr>
      <t>NOTE 2</t>
    </r>
    <r>
      <rPr>
        <sz val="5"/>
        <color rgb="FFFF0000"/>
        <rFont val="Arial"/>
        <family val="2"/>
      </rPr>
      <t xml:space="preserve"> - QUOTE FULL UNIQUE MFR'S PART NUMBER.
</t>
    </r>
    <r>
      <rPr>
        <b/>
        <u/>
        <sz val="5"/>
        <color rgb="FFFF0000"/>
        <rFont val="Arial"/>
        <family val="2"/>
      </rPr>
      <t>NOTE 3</t>
    </r>
    <r>
      <rPr>
        <sz val="5"/>
        <color rgb="FFFF0000"/>
        <rFont val="Arial"/>
        <family val="2"/>
      </rPr>
      <t xml:space="preserve"> - QUOTE ORIGINAL MFR'S IDENTIFICATION NUMBER FOR BOUGHT OUT ITEMS SUCH AS BEARINGS, V-BELTS, MECHANICAL SEALS, COUPLINGS, FUSES, INSTRUMENTS, RELAYS, CONTACTORS, ETC.
</t>
    </r>
    <r>
      <rPr>
        <b/>
        <u/>
        <sz val="5"/>
        <color rgb="FFFF0000"/>
        <rFont val="Arial"/>
        <family val="2"/>
      </rPr>
      <t>NOTE 4</t>
    </r>
    <r>
      <rPr>
        <sz val="5"/>
        <color rgb="FFFF0000"/>
        <rFont val="Arial"/>
        <family val="2"/>
      </rPr>
      <t xml:space="preserve"> - QUOTE SUPPLIERS NAME, ADDRESS  AND OTHER RELEVANT DETAILS FOR ITEMS SHOWN IN COLUMN 10B . PROVIDE ADDITIONAL SUPPORTING DOCUMENTS LIKE  ENGINEERING DATA SHEET, CATALOGUE , ORDERING INFORMATION, NAME PLATE DETAILS ETC.
</t>
    </r>
    <r>
      <rPr>
        <b/>
        <u/>
        <sz val="5"/>
        <color rgb="FFFF0000"/>
        <rFont val="Arial"/>
        <family val="2"/>
      </rPr>
      <t>NOTE 5</t>
    </r>
    <r>
      <rPr>
        <b/>
        <sz val="5"/>
        <color rgb="FFFF0000"/>
        <rFont val="Arial"/>
        <family val="2"/>
      </rPr>
      <t xml:space="preserve"> -</t>
    </r>
    <r>
      <rPr>
        <sz val="5"/>
        <color rgb="FFFF0000"/>
        <rFont val="Arial"/>
        <family val="2"/>
      </rPr>
      <t xml:space="preserve"> COL 1 THRO' 13, 15, 17, 18, 20 &amp; 22 TO BE COMPLETED BY THE MFR/SUPPLIER IN ACCORDANCE WITH GUIDE TO COMPLETION.
</t>
    </r>
    <r>
      <rPr>
        <b/>
        <u/>
        <sz val="5"/>
        <color rgb="FFFF0000"/>
        <rFont val="Arial"/>
        <family val="2"/>
      </rPr>
      <t>NOTE 6</t>
    </r>
    <r>
      <rPr>
        <sz val="5"/>
        <color rgb="FFFF0000"/>
        <rFont val="Arial"/>
        <family val="2"/>
      </rPr>
      <t xml:space="preserve"> - FIELDS HIGHLIGHTED IN YELLOW ARE MANDATORY</t>
    </r>
  </si>
  <si>
    <t xml:space="preserve">Batch Test Certificate                  </t>
  </si>
  <si>
    <t>Cert of Compliance EN10204/ISO 10474 2.1</t>
  </si>
  <si>
    <t>CALC</t>
  </si>
  <si>
    <t xml:space="preserve">Calibration Certificate for Instruments </t>
  </si>
  <si>
    <t xml:space="preserve">DCR </t>
  </si>
  <si>
    <t xml:space="preserve">Dimensional Check Report                </t>
  </si>
  <si>
    <t xml:space="preserve">DMC </t>
  </si>
  <si>
    <t xml:space="preserve">Dynamic Balancing Certificate           </t>
  </si>
  <si>
    <t>DPTR</t>
  </si>
  <si>
    <t xml:space="preserve">Dye Penetrant Test Report               </t>
  </si>
  <si>
    <t xml:space="preserve">EMR </t>
  </si>
  <si>
    <t xml:space="preserve">Electric Motor Test report              </t>
  </si>
  <si>
    <t xml:space="preserve">ERR </t>
  </si>
  <si>
    <t xml:space="preserve">Electrical Run out Report               </t>
  </si>
  <si>
    <t xml:space="preserve">FPR </t>
  </si>
  <si>
    <t xml:space="preserve">Functional/Performance Test report      </t>
  </si>
  <si>
    <t xml:space="preserve">HAZ </t>
  </si>
  <si>
    <t xml:space="preserve">H.A.Z. Certificate (ATEX, UL, CSA, FM)  </t>
  </si>
  <si>
    <t>HYTC</t>
  </si>
  <si>
    <t xml:space="preserve">Hydro Test Certificate                  </t>
  </si>
  <si>
    <t xml:space="preserve">LOC </t>
  </si>
  <si>
    <t xml:space="preserve">Letter of Conformity                    </t>
  </si>
  <si>
    <t xml:space="preserve">LTC </t>
  </si>
  <si>
    <t>PLT Cert as per QP-REG-Q-001 Rev-5 (Latest Rev)</t>
  </si>
  <si>
    <t>M31</t>
  </si>
  <si>
    <t xml:space="preserve">Insp Cert BSEN 10204 type 3.1/ISO 10474 Type 3.1 </t>
  </si>
  <si>
    <t>MPIR</t>
  </si>
  <si>
    <t xml:space="preserve">Magnetic Particle Inspection Report     </t>
  </si>
  <si>
    <t>MSDS</t>
  </si>
  <si>
    <t xml:space="preserve">Material Safety Data Sheet              </t>
  </si>
  <si>
    <t xml:space="preserve">MTR </t>
  </si>
  <si>
    <t xml:space="preserve">Manufacturer's Test report              </t>
  </si>
  <si>
    <t xml:space="preserve">NCC </t>
  </si>
  <si>
    <t xml:space="preserve">NACE MR.01.75 Compliance Certificate    </t>
  </si>
  <si>
    <t>NDTR</t>
  </si>
  <si>
    <t xml:space="preserve">Non Destructive Test Report             </t>
  </si>
  <si>
    <t>PARQ</t>
  </si>
  <si>
    <t xml:space="preserve">Painting Report QP spec. QP- SPC- L-002 </t>
  </si>
  <si>
    <t>Q115</t>
  </si>
  <si>
    <t xml:space="preserve">SRV Cert. for Air &amp; water Service       </t>
  </si>
  <si>
    <t>Q120</t>
  </si>
  <si>
    <t xml:space="preserve">SRV Certification for Process Service   </t>
  </si>
  <si>
    <t xml:space="preserve">T22 </t>
  </si>
  <si>
    <t xml:space="preserve">Test report BSEN10204/ISO10474 2.2      </t>
  </si>
  <si>
    <t xml:space="preserve">UTR </t>
  </si>
  <si>
    <t xml:space="preserve">Ultrasonic Test Report                  </t>
  </si>
  <si>
    <t xml:space="preserve">VIR </t>
  </si>
  <si>
    <t xml:space="preserve">Visual Inspection Report                </t>
  </si>
  <si>
    <t>XXXX</t>
  </si>
  <si>
    <t xml:space="preserve">No Certificate control                  </t>
  </si>
  <si>
    <t xml:space="preserve">Galvanizing Certificate </t>
  </si>
  <si>
    <t>MCC</t>
  </si>
  <si>
    <t>Machining Certificate</t>
  </si>
  <si>
    <t>ENC</t>
  </si>
  <si>
    <t xml:space="preserve">ENP Coating Certificate </t>
  </si>
  <si>
    <t>FSC</t>
  </si>
  <si>
    <t xml:space="preserve">Fire Safe Certificate </t>
  </si>
  <si>
    <t>EFC</t>
  </si>
  <si>
    <t>Exhaust fan certification to MOE Qatar Regulations</t>
  </si>
  <si>
    <t>M32</t>
  </si>
  <si>
    <t>Insp Cert BSEN 10204 3.2/ISO 10474 3.2</t>
  </si>
  <si>
    <t>S200</t>
  </si>
  <si>
    <t>Cryogenic Test Report (MESC SPE 77/200)</t>
  </si>
  <si>
    <t>LTS</t>
  </si>
  <si>
    <t>Low Temperature Service certificate</t>
  </si>
  <si>
    <t xml:space="preserve">BTC  - Batch Test Certificate                  </t>
  </si>
  <si>
    <t>C21  - Cert of Compliance EN10204/ISO 10474 2.1</t>
  </si>
  <si>
    <t xml:space="preserve">CALC - Calibration Certificate for Instruments </t>
  </si>
  <si>
    <t xml:space="preserve">DCR  - Dimensional Check Report                </t>
  </si>
  <si>
    <t xml:space="preserve">DMC  - Dynamic Balancing Certificate           </t>
  </si>
  <si>
    <t xml:space="preserve">DPTR - Dye Penetrant Test Report               </t>
  </si>
  <si>
    <t xml:space="preserve">EMR  - Electric Motor Test report              </t>
  </si>
  <si>
    <t xml:space="preserve">ERR  - Electrical Run out Report               </t>
  </si>
  <si>
    <t xml:space="preserve">FPR  - Functional/Performance Test report      </t>
  </si>
  <si>
    <t xml:space="preserve">HAZ  - H.A.Z. Certificate (ATEX, UL, CSA, FM)  </t>
  </si>
  <si>
    <t xml:space="preserve">HYTC - Hydro Test Certificate                  </t>
  </si>
  <si>
    <t xml:space="preserve">LOC  - Letter of Conformity                    </t>
  </si>
  <si>
    <t>LTC  - PLT Cert as per QP-REG-Q-001 Rev-5 (Latest Rev)</t>
  </si>
  <si>
    <t xml:space="preserve">M31 - Insp Cert BSEN 10204 type 3.1/ISO 10474 Type 3.1 </t>
  </si>
  <si>
    <t xml:space="preserve">MPIR - Magnetic Particle Inspection Report     </t>
  </si>
  <si>
    <t xml:space="preserve">MSDS - Material Safety Data Sheet              </t>
  </si>
  <si>
    <t xml:space="preserve">MTR  - Manufacturer's Test report              </t>
  </si>
  <si>
    <t xml:space="preserve">NCC  - NACE MR.01.75 Compliance Certificate    </t>
  </si>
  <si>
    <t xml:space="preserve">NDTR - Non Destructive Test Report             </t>
  </si>
  <si>
    <t xml:space="preserve">PARQ - Painting Report QP spec. QP- SPC- L-002 </t>
  </si>
  <si>
    <t xml:space="preserve">Q115 - SRV Cert. for Air &amp; water Service       </t>
  </si>
  <si>
    <t xml:space="preserve">Q120 - SRV Certification for Process Service   </t>
  </si>
  <si>
    <t xml:space="preserve">T22  - Test report BSEN10204/ISO10474 2.2      </t>
  </si>
  <si>
    <t xml:space="preserve">UTR  - Ultrasonic Test Report                  </t>
  </si>
  <si>
    <t xml:space="preserve">VIR  - Visual Inspection Report                </t>
  </si>
  <si>
    <t xml:space="preserve">XXXX - No Certificate control                  </t>
  </si>
  <si>
    <t xml:space="preserve">GAL - Galvanizing Certificate </t>
  </si>
  <si>
    <t>MCC - Machining Certificate</t>
  </si>
  <si>
    <t xml:space="preserve">ENC - ENP Coating Certificate </t>
  </si>
  <si>
    <t xml:space="preserve">FSC - Fire Safe Certificate </t>
  </si>
  <si>
    <t>EFC - Exhaust fan certification to MOE Qatar Regulations</t>
  </si>
  <si>
    <t>M32 - Insp Cert BSEN 10204 3.2/ISO 10474 3.2</t>
  </si>
  <si>
    <t>S200 - Cryogenic Test Report (MESC SPE 77/200)</t>
  </si>
  <si>
    <t>LTS - Low Temperature Service certificate</t>
  </si>
  <si>
    <t>BTC</t>
  </si>
  <si>
    <t>C21</t>
  </si>
  <si>
    <t>12A</t>
  </si>
  <si>
    <t>12B</t>
  </si>
  <si>
    <t>SUPPLIER/OCM NAME</t>
  </si>
  <si>
    <r>
      <t xml:space="preserve">SUPPORTING DOCUMENTS
</t>
    </r>
    <r>
      <rPr>
        <sz val="3"/>
        <color rgb="FFFF0000"/>
        <rFont val="Arial"/>
        <family val="2"/>
      </rPr>
      <t>(ATTACHMENTS ONLY)</t>
    </r>
  </si>
  <si>
    <t>UNIT PRICE</t>
  </si>
  <si>
    <t>CURRENCY</t>
  </si>
  <si>
    <t>BARRELS</t>
  </si>
  <si>
    <t>BOTTLE</t>
  </si>
  <si>
    <t>CANISTER</t>
  </si>
  <si>
    <t>CARTON</t>
  </si>
  <si>
    <t>CENTIMETER</t>
  </si>
  <si>
    <t>CYLINDER</t>
  </si>
  <si>
    <t>DAYS</t>
  </si>
  <si>
    <t>DRUM</t>
  </si>
  <si>
    <t>EACH</t>
  </si>
  <si>
    <t>FEET</t>
  </si>
  <si>
    <t>SQ.FEET</t>
  </si>
  <si>
    <t>GRAM</t>
  </si>
  <si>
    <t>US GALLON</t>
  </si>
  <si>
    <t>GALLON</t>
  </si>
  <si>
    <t>GRAM/MOL</t>
  </si>
  <si>
    <t>HOURS</t>
  </si>
  <si>
    <t>INCH METER</t>
  </si>
  <si>
    <t>JOINT</t>
  </si>
  <si>
    <t>KILOGRAM</t>
  </si>
  <si>
    <t>KILOWATT HOURS</t>
  </si>
  <si>
    <t>LITER</t>
  </si>
  <si>
    <t>US POUND</t>
  </si>
  <si>
    <t>LUMPSUM</t>
  </si>
  <si>
    <t>METER</t>
  </si>
  <si>
    <t>SQ.METER</t>
  </si>
  <si>
    <t>CUBIC METER</t>
  </si>
  <si>
    <t>MILE</t>
  </si>
  <si>
    <t>MILLIMETER</t>
  </si>
  <si>
    <t>SQ.MILLIMETER</t>
  </si>
  <si>
    <t>MONTHS</t>
  </si>
  <si>
    <t>NUMBERS</t>
  </si>
  <si>
    <t>OUNCE</t>
  </si>
  <si>
    <t>PAIR</t>
  </si>
  <si>
    <t>PACK</t>
  </si>
  <si>
    <t>PIECE</t>
  </si>
  <si>
    <t>POUNDS PER SQ.INCH</t>
  </si>
  <si>
    <t>ROLL</t>
  </si>
  <si>
    <t>CUBIC FOOT</t>
  </si>
  <si>
    <t>TONNE</t>
  </si>
  <si>
    <t>US TON</t>
  </si>
  <si>
    <t>WEEKS</t>
  </si>
  <si>
    <t>YARD</t>
  </si>
  <si>
    <t>BAG - BAG</t>
  </si>
  <si>
    <t>BBL - BARRELS</t>
  </si>
  <si>
    <t>BOX - BOX</t>
  </si>
  <si>
    <t>BT - BOTTLE</t>
  </si>
  <si>
    <t>CAN - CANISTER</t>
  </si>
  <si>
    <t>CAR - CARTON</t>
  </si>
  <si>
    <t>CM - CENTIMETER</t>
  </si>
  <si>
    <t>CYL - CYLINDER</t>
  </si>
  <si>
    <t>DAY - DAYS</t>
  </si>
  <si>
    <t>DR - DRUM</t>
  </si>
  <si>
    <t>EA - EACH</t>
  </si>
  <si>
    <t>FT - FEET</t>
  </si>
  <si>
    <t>FT2 - SQ.FEET</t>
  </si>
  <si>
    <t>G - GRAM</t>
  </si>
  <si>
    <t>GAL - US GALLON</t>
  </si>
  <si>
    <t>GL - GALLON</t>
  </si>
  <si>
    <t>GM - GRAM/MOL</t>
  </si>
  <si>
    <t>HR - HOURS</t>
  </si>
  <si>
    <t>INM - INCH METER</t>
  </si>
  <si>
    <t>JOB - JOB</t>
  </si>
  <si>
    <t>JT - JOINT</t>
  </si>
  <si>
    <t>KG - KILOGRAM</t>
  </si>
  <si>
    <t>KIT - KIT</t>
  </si>
  <si>
    <t>KWH - KILOWATT HOURS</t>
  </si>
  <si>
    <t>L - LITER</t>
  </si>
  <si>
    <t>LB - US POUND</t>
  </si>
  <si>
    <t>LOT - LOT</t>
  </si>
  <si>
    <t>LS - LUMPSUM</t>
  </si>
  <si>
    <t>M - METER</t>
  </si>
  <si>
    <t>M2 - SQ.METER</t>
  </si>
  <si>
    <t>M3 - CUBIC METER</t>
  </si>
  <si>
    <t>MI - MILE</t>
  </si>
  <si>
    <t>MM - MILLIMETER</t>
  </si>
  <si>
    <t>MM2 - SQ.MILLIMETER</t>
  </si>
  <si>
    <t>MON - MONTHS</t>
  </si>
  <si>
    <t>NO - NUMBERS</t>
  </si>
  <si>
    <t>OZ - OUNCE</t>
  </si>
  <si>
    <t>PAA - PAIR</t>
  </si>
  <si>
    <t>PAC - PACK</t>
  </si>
  <si>
    <t>PC - PIECE</t>
  </si>
  <si>
    <t>PSI - POUNDS PER SQ.INCH</t>
  </si>
  <si>
    <t>RL - ROLL</t>
  </si>
  <si>
    <t>SCF - CUBIC FOOT</t>
  </si>
  <si>
    <t>SET - SET</t>
  </si>
  <si>
    <t>TO - TONNE</t>
  </si>
  <si>
    <t>TON - US TON</t>
  </si>
  <si>
    <t>WK - WEEKS</t>
  </si>
  <si>
    <t>YD - YARD</t>
  </si>
  <si>
    <t>C - Stock</t>
  </si>
  <si>
    <t>I - Non-Stock</t>
  </si>
  <si>
    <t>S - General Cons. Com.</t>
  </si>
  <si>
    <t>Y - Capital Ins. Itm.</t>
  </si>
  <si>
    <t>R - Repairable Itm.</t>
  </si>
  <si>
    <t>ADP - Andoran peseta</t>
  </si>
  <si>
    <t>AED - United Arab Emirates Dirham</t>
  </si>
  <si>
    <t>AFA - Afghani</t>
  </si>
  <si>
    <t>ALL - Albanian Lek</t>
  </si>
  <si>
    <t>AMD - Armenian Dram</t>
  </si>
  <si>
    <t>ANG - West Indian Guilder</t>
  </si>
  <si>
    <t>AON - Angolan New Kwanza</t>
  </si>
  <si>
    <t>AOR - Angolan Kwanza Reajustado</t>
  </si>
  <si>
    <t>ARS - Argentine Peso</t>
  </si>
  <si>
    <t>ATS - Austrian Schilling</t>
  </si>
  <si>
    <t>AUD - Australian Dollar</t>
  </si>
  <si>
    <t>AWG - Aruban Guilder</t>
  </si>
  <si>
    <t>AZM - Azerbaijan Manat - Old</t>
  </si>
  <si>
    <t>AZN - Azerbaijan Manat</t>
  </si>
  <si>
    <t>BAM - Bosnia and Herzegovina Convertible Mark</t>
  </si>
  <si>
    <t>BBD - Barbados Dollar</t>
  </si>
  <si>
    <t>BDT - Bangladesh Taka</t>
  </si>
  <si>
    <t>BEF - Belgian Franc</t>
  </si>
  <si>
    <t>BGN - Bulgarian Lev</t>
  </si>
  <si>
    <t>BHD - Bahrain Dinar</t>
  </si>
  <si>
    <t>BIF - Burundi Franc</t>
  </si>
  <si>
    <t>BMD - Bermudan Dollar</t>
  </si>
  <si>
    <t>BND - Brunei Dollar</t>
  </si>
  <si>
    <t>BOB - Boliviano</t>
  </si>
  <si>
    <t>BRL - Brazilian Real</t>
  </si>
  <si>
    <t>BSD - Bahaman Dollar</t>
  </si>
  <si>
    <t>BTN - Bhutan Ngultrum</t>
  </si>
  <si>
    <t>BWP - Botswana Pula</t>
  </si>
  <si>
    <t>BYB - Belorussian Ruble</t>
  </si>
  <si>
    <t>BZD - Belize Dollar</t>
  </si>
  <si>
    <t>CAD - Canadian Dollar</t>
  </si>
  <si>
    <t>CFP - French Franc (Pacific Islands)</t>
  </si>
  <si>
    <t>CHF - Swiss Franc</t>
  </si>
  <si>
    <t>CLP - Chilean Peso</t>
  </si>
  <si>
    <t>CNY - Chinese Renminbi</t>
  </si>
  <si>
    <t>COP - Colombian Peso</t>
  </si>
  <si>
    <t>CRC - Costa Rica Colon</t>
  </si>
  <si>
    <t>CUP - Cuban Peso</t>
  </si>
  <si>
    <t>CVE - Cape Verde Escudo</t>
  </si>
  <si>
    <t>CYP - Cyprus Pound</t>
  </si>
  <si>
    <t>CZK - Czech Krona</t>
  </si>
  <si>
    <t>DEM - German Mark</t>
  </si>
  <si>
    <t>DEM3 - (Internal) German Mark (3 dec.places)</t>
  </si>
  <si>
    <t>DJF - Djibouti Franc</t>
  </si>
  <si>
    <t>DKK - Danish Krone</t>
  </si>
  <si>
    <t>DOP - Dominican Peso</t>
  </si>
  <si>
    <t>DZD - Algerian Dinar</t>
  </si>
  <si>
    <t>ECS - Ecuadorian Sucre</t>
  </si>
  <si>
    <t>EEK - Estonian Krone</t>
  </si>
  <si>
    <t>EGP - Egyptian Pound</t>
  </si>
  <si>
    <t>ERN - Eritrean Nafka</t>
  </si>
  <si>
    <t>ESP - Spanish Peseta</t>
  </si>
  <si>
    <t>ETB - Ethiopian Birr</t>
  </si>
  <si>
    <t>EUR - European Euro</t>
  </si>
  <si>
    <t>FIM - Finnish markka</t>
  </si>
  <si>
    <t>FJD - Fiji Dollar</t>
  </si>
  <si>
    <t>FKP - Falkland Pound</t>
  </si>
  <si>
    <t>FRF - French Franc</t>
  </si>
  <si>
    <t>GBP - British Pound</t>
  </si>
  <si>
    <t>GEL - Georgian Lari</t>
  </si>
  <si>
    <t>GHC - Ghanian Cedi</t>
  </si>
  <si>
    <t>GHS - Ghanian Cedi</t>
  </si>
  <si>
    <t>GIP - Gibraltar Pound</t>
  </si>
  <si>
    <t>GMD - Gambian Dalasi</t>
  </si>
  <si>
    <t>GNF - Guinean Franc</t>
  </si>
  <si>
    <t>GRD - Greek Drachma</t>
  </si>
  <si>
    <t>GTQ - Guatemalan Quetzal</t>
  </si>
  <si>
    <t>GWP - Guinea Peso</t>
  </si>
  <si>
    <t>GYD - Guyana Dollar</t>
  </si>
  <si>
    <t>HKD - Hong Kong Dollar</t>
  </si>
  <si>
    <t>HNL - Honduran Lempira</t>
  </si>
  <si>
    <t>HRK - Croatian Kuna</t>
  </si>
  <si>
    <t>HTG - Haitian Gourde</t>
  </si>
  <si>
    <t>HUF - Hungarian Forint</t>
  </si>
  <si>
    <t>IDR - Indonesian Rupiah</t>
  </si>
  <si>
    <t>IEP - Irish Punt</t>
  </si>
  <si>
    <t>ILS - Israeli Scheckel</t>
  </si>
  <si>
    <t>INR - Indian Rupee</t>
  </si>
  <si>
    <t>IQD - Iraqui Dinar</t>
  </si>
  <si>
    <t>IRR - Iranian Rial</t>
  </si>
  <si>
    <t>ISK - Iceland Krona</t>
  </si>
  <si>
    <t>ITL - Italian Lira</t>
  </si>
  <si>
    <t>JMD - Jamaican Dollar</t>
  </si>
  <si>
    <t>JOD - Jordanian Dinar</t>
  </si>
  <si>
    <t>JPY - Japanese Yen</t>
  </si>
  <si>
    <t>KES - Kenyan Shilling</t>
  </si>
  <si>
    <t>KGS - Kyrgyzstan Som</t>
  </si>
  <si>
    <t>KHR - Cambodian Riel</t>
  </si>
  <si>
    <t>KMF - Comoros Franc</t>
  </si>
  <si>
    <t>KPW - North Korean Won</t>
  </si>
  <si>
    <t>KRW - South Korean Won</t>
  </si>
  <si>
    <t>KWD - Kuwaiti Dinar</t>
  </si>
  <si>
    <t>KYD - Cayman Dollar</t>
  </si>
  <si>
    <t>KZT - Kazakstanian Tenge</t>
  </si>
  <si>
    <t>LAK - Laotian Kip</t>
  </si>
  <si>
    <t>LBP - Lebanese Pound</t>
  </si>
  <si>
    <t>LKR - Sri Lankan Rupee</t>
  </si>
  <si>
    <t>LRD - Liberian Dollar</t>
  </si>
  <si>
    <t>LSL - Lesotho Loti</t>
  </si>
  <si>
    <t>LTL - Lithuanian Lita</t>
  </si>
  <si>
    <t>LUF - Luxembourg Franc</t>
  </si>
  <si>
    <t>LVL - Latvian Lat</t>
  </si>
  <si>
    <t>LYD - Libyan Dinar</t>
  </si>
  <si>
    <t>MAD - Moroccan Dirham</t>
  </si>
  <si>
    <t>MDL - Moldavian Leu</t>
  </si>
  <si>
    <t>MGF - Madagascan Franc</t>
  </si>
  <si>
    <t>MKD - Macedonian Denar</t>
  </si>
  <si>
    <t>MMK - Myanmar Kyat</t>
  </si>
  <si>
    <t>MNT - Mongolian Tugrik</t>
  </si>
  <si>
    <t>MOP - Macao Pataca</t>
  </si>
  <si>
    <t>MRO - Mauritanian Ouguiya</t>
  </si>
  <si>
    <t>MTL - Maltese Lira</t>
  </si>
  <si>
    <t>MUR - Mauritian Rupee</t>
  </si>
  <si>
    <t>MVR - Maldive Rufiyaa</t>
  </si>
  <si>
    <t>MWK - Malawi Kwacha</t>
  </si>
  <si>
    <t>MXN - Mexican Pesos</t>
  </si>
  <si>
    <t>MYR - Malaysian Ringgit</t>
  </si>
  <si>
    <t>MZM - Mozambique Metical</t>
  </si>
  <si>
    <t>MZN - Mozambique Metical</t>
  </si>
  <si>
    <t>NAD - Namibian Dollar</t>
  </si>
  <si>
    <t>NGN - Nigerian Naira</t>
  </si>
  <si>
    <t>NIO - Nicaraguan Cordoba Oro</t>
  </si>
  <si>
    <t>NLG - Dutch Guilder</t>
  </si>
  <si>
    <t>NOK - Norwegian Krone</t>
  </si>
  <si>
    <t>NPR - Nepalese Rupee</t>
  </si>
  <si>
    <t>NZD - New Zealand Dollars</t>
  </si>
  <si>
    <t>OMR - Omani Rial</t>
  </si>
  <si>
    <t>PAB - Panamanian Balboa</t>
  </si>
  <si>
    <t>PEN - Peruvian New Sol</t>
  </si>
  <si>
    <t>PGK - Papua New Guinea Kina</t>
  </si>
  <si>
    <t>PHP - Philippine Peso</t>
  </si>
  <si>
    <t>PKR - Pakistani Rupee</t>
  </si>
  <si>
    <t>PLN - Polish Zloty (new)</t>
  </si>
  <si>
    <t>PTE - Portuguese Escudo</t>
  </si>
  <si>
    <t>PYG - Paraguayan Guarani</t>
  </si>
  <si>
    <t>QAR - Qatar Riyal</t>
  </si>
  <si>
    <t>RMB - Chinese Yuan Renminbi</t>
  </si>
  <si>
    <t>ROL - Romanian Leu</t>
  </si>
  <si>
    <t>RUB - Russian Ruble</t>
  </si>
  <si>
    <t>RWF - Rwandan Franc</t>
  </si>
  <si>
    <t>SAR - Saudi Riyal</t>
  </si>
  <si>
    <t>SBD - Solomon Islands Dollar</t>
  </si>
  <si>
    <t>SCR - Seychelles Rupee</t>
  </si>
  <si>
    <t>SDP - Sudanese Pound</t>
  </si>
  <si>
    <t>SEK - Swedish Krona</t>
  </si>
  <si>
    <t>SGD - Singapore Dollar</t>
  </si>
  <si>
    <t>SHP - St.Helena Pound</t>
  </si>
  <si>
    <t>SIT - Slovenian Tolar</t>
  </si>
  <si>
    <t>SKK - Slovakian Krona</t>
  </si>
  <si>
    <t>SLL - Sierra Leone Leone</t>
  </si>
  <si>
    <t>SOS - Somalian Shilling</t>
  </si>
  <si>
    <t>SRG - Surinam Guilder</t>
  </si>
  <si>
    <t>STD - Sao Tome / Principe Dobra</t>
  </si>
  <si>
    <t>SVC - El Salvador Colon</t>
  </si>
  <si>
    <t>SYP - Syrian Pound</t>
  </si>
  <si>
    <t>SZL - Swaziland Lilangeni</t>
  </si>
  <si>
    <t>THB - Thailand Baht</t>
  </si>
  <si>
    <t>TJR - Tajikistani Ruble</t>
  </si>
  <si>
    <t>TMM - Turkmenistani Manat</t>
  </si>
  <si>
    <t>TND - Tunisian Dinar</t>
  </si>
  <si>
    <t>TOP - Tongan Pa'anga</t>
  </si>
  <si>
    <t>TPE - Timor Escudo</t>
  </si>
  <si>
    <t>TRL - Turkish Lira</t>
  </si>
  <si>
    <t>TRY - Turkish Lira</t>
  </si>
  <si>
    <t>TTD - Trinidad and Tobago Dollar</t>
  </si>
  <si>
    <t>TWD - New Taiwan Dollar</t>
  </si>
  <si>
    <t>TZS - Tanzanian Shilling</t>
  </si>
  <si>
    <t>UAH - Ukraine Hryvnia</t>
  </si>
  <si>
    <t>UGX - Ugandan Shilling</t>
  </si>
  <si>
    <t>USD - United States Dollar</t>
  </si>
  <si>
    <t>UYU - Uruguayan Peso (new)</t>
  </si>
  <si>
    <t>UZS - Uzbekistan Som</t>
  </si>
  <si>
    <t>VEB - Venezuelan Bolivar</t>
  </si>
  <si>
    <t>VND - Vietnamese Dong</t>
  </si>
  <si>
    <t>VUV - Vanuatu Vatu</t>
  </si>
  <si>
    <t>WST - Samoan Tala</t>
  </si>
  <si>
    <t>XAF - Gabon CFA Franc BEAC</t>
  </si>
  <si>
    <t>XCD - East Carribean Dollar</t>
  </si>
  <si>
    <t>XDS - St. Christopher Dollar</t>
  </si>
  <si>
    <t>XEU - European Currency Unit (E.C.U.)</t>
  </si>
  <si>
    <t>XOF - Benin CFA Franc BCEAO</t>
  </si>
  <si>
    <t>XPF - CFP Franc</t>
  </si>
  <si>
    <t>YER - Yemeni Ryal</t>
  </si>
  <si>
    <t>YUM - New Yugoslavian Dinar</t>
  </si>
  <si>
    <t>ZAR - South African Rand</t>
  </si>
  <si>
    <t>ZMK - Zambian Kwacha</t>
  </si>
  <si>
    <t>ZRN - Zaire</t>
  </si>
  <si>
    <t>ZWD - Zimbabwean Dollar</t>
  </si>
  <si>
    <t>Field 11B – inspection certificate requirement for single or multiple certificates of respective material to be selected from list of certificates</t>
  </si>
  <si>
    <t xml:space="preserve">BRR </t>
  </si>
  <si>
    <t xml:space="preserve">BTR </t>
  </si>
  <si>
    <t xml:space="preserve">COA </t>
  </si>
  <si>
    <t xml:space="preserve">CLR </t>
  </si>
  <si>
    <t xml:space="preserve">HTR </t>
  </si>
  <si>
    <t xml:space="preserve">LTR </t>
  </si>
  <si>
    <t xml:space="preserve">PAR </t>
  </si>
  <si>
    <t xml:space="preserve">PMI </t>
  </si>
  <si>
    <t>PWHT</t>
  </si>
  <si>
    <t xml:space="preserve">ROR </t>
  </si>
  <si>
    <t xml:space="preserve">RTR </t>
  </si>
  <si>
    <t>S302</t>
  </si>
  <si>
    <t>S303</t>
  </si>
  <si>
    <t xml:space="preserve">TER </t>
  </si>
  <si>
    <t xml:space="preserve">TTC </t>
  </si>
  <si>
    <t xml:space="preserve">UTL </t>
  </si>
  <si>
    <t>CLC</t>
  </si>
  <si>
    <t>ECC</t>
  </si>
  <si>
    <t>PTC</t>
  </si>
  <si>
    <t>TFC</t>
  </si>
  <si>
    <t>HDB</t>
  </si>
  <si>
    <t>ICT</t>
  </si>
  <si>
    <t>FET</t>
  </si>
  <si>
    <t>SIL</t>
  </si>
  <si>
    <t xml:space="preserve">VDI </t>
  </si>
  <si>
    <t xml:space="preserve">Blade Registration Record for Rotor     </t>
  </si>
  <si>
    <t xml:space="preserve">Burst test Report for Rupture disc      </t>
  </si>
  <si>
    <t xml:space="preserve">Certificate of Analysis        </t>
  </si>
  <si>
    <t xml:space="preserve">COC to Cement Lining to SHELL DEP spec. </t>
  </si>
  <si>
    <t>Hazardous Classification Approval Certificate</t>
  </si>
  <si>
    <t xml:space="preserve">Hardness Test Report                    </t>
  </si>
  <si>
    <t xml:space="preserve">LT Test Report to SHELL Spec SPE77/306  </t>
  </si>
  <si>
    <t xml:space="preserve">Painting Report                         </t>
  </si>
  <si>
    <t xml:space="preserve">Positive Material Identification Report    </t>
  </si>
  <si>
    <t xml:space="preserve">Post Weld Heat Treatment Report         </t>
  </si>
  <si>
    <t>Run out Report for Shaft</t>
  </si>
  <si>
    <t xml:space="preserve">Radiographic Test Report                </t>
  </si>
  <si>
    <t>SPE 77/302 Insp Tstng Crtn Valve Gen Srv</t>
  </si>
  <si>
    <t>SPE 77/303 Insp Tstng Crtn Valve Spc Srv</t>
  </si>
  <si>
    <t xml:space="preserve">Tube Expansion Inspection Report        </t>
  </si>
  <si>
    <t xml:space="preserve">Type Test Certificate                   </t>
  </si>
  <si>
    <t xml:space="preserve">UT Lamination Check Report              </t>
  </si>
  <si>
    <t xml:space="preserve">Cement Lining Certificate </t>
  </si>
  <si>
    <t xml:space="preserve">Epoxy Coating Certificate </t>
  </si>
  <si>
    <t xml:space="preserve">Cadmium Coating Certificate </t>
  </si>
  <si>
    <t xml:space="preserve">PTFE Coating Certificate </t>
  </si>
  <si>
    <t xml:space="preserve">Teflon Coating Certifiacte </t>
  </si>
  <si>
    <t>Hysteresis and Deadband test</t>
  </si>
  <si>
    <t>Intergranular Corrosion Test Report (for Austentic SS and Nickel Alloys)</t>
  </si>
  <si>
    <t>Fugative Emission Test Report</t>
  </si>
  <si>
    <t>Safety Integrity level Certification</t>
  </si>
  <si>
    <t xml:space="preserve">Visual  &amp; Dimensional Inspection Report </t>
  </si>
  <si>
    <t xml:space="preserve">BRR  - Blade Registration Record for Rotor     </t>
  </si>
  <si>
    <t xml:space="preserve">BTR  - Burst test Report for Rupture disc      </t>
  </si>
  <si>
    <t xml:space="preserve">COA  - Certificate of Analysis        </t>
  </si>
  <si>
    <t xml:space="preserve">CLR  - COC to Cement Lining to SHELL DEP spec. </t>
  </si>
  <si>
    <t>HAZ  - Hazardous Classification Approval Certificate</t>
  </si>
  <si>
    <t xml:space="preserve">HTR  - Hardness Test Report                    </t>
  </si>
  <si>
    <t xml:space="preserve">LTR  - LT Test Report to SHELL Spec SPE77/306  </t>
  </si>
  <si>
    <t xml:space="preserve">PAR  - Painting Report                         </t>
  </si>
  <si>
    <t xml:space="preserve">PMI  - Positive Material Identification Report    </t>
  </si>
  <si>
    <t xml:space="preserve">PWHT - Post Weld Heat Treatment Report         </t>
  </si>
  <si>
    <t>ROR  - Run out Report for Shaft</t>
  </si>
  <si>
    <t xml:space="preserve">RTR  - Radiographic Test Report                </t>
  </si>
  <si>
    <t>S302 - SPE 77/302 Insp Tstng Crtn Valve Gen Srv</t>
  </si>
  <si>
    <t>S303 - SPE 77/303 Insp Tstng Crtn Valve Spc Srv</t>
  </si>
  <si>
    <t xml:space="preserve">TER  - Tube Expansion Inspection Report        </t>
  </si>
  <si>
    <t xml:space="preserve">TTC  - Type Test Certificate                   </t>
  </si>
  <si>
    <t xml:space="preserve">UTL  - UT Lamination Check Report              </t>
  </si>
  <si>
    <t xml:space="preserve">CLC - Cement Lining Certificate </t>
  </si>
  <si>
    <t xml:space="preserve">ECC - Epoxy Coating Certificate </t>
  </si>
  <si>
    <t xml:space="preserve">CAD - Cadmium Coating Certificate </t>
  </si>
  <si>
    <t xml:space="preserve">PTC - PTFE Coating Certificate </t>
  </si>
  <si>
    <t xml:space="preserve">TFC - Teflon Coating Certifiacte </t>
  </si>
  <si>
    <t>HDB - Hysteresis and Deadband test</t>
  </si>
  <si>
    <t>ICT - Intergranular Corrosion Test Report (for Austentic SS and Nickel Alloys)</t>
  </si>
  <si>
    <t>FET - Fugative Emission Test Report</t>
  </si>
  <si>
    <t>SIL - Safety Integrity level Certification</t>
  </si>
  <si>
    <t xml:space="preserve">VDI  - Visual  &amp; Dimensional Inspection Report </t>
  </si>
  <si>
    <t>IMPELLER</t>
  </si>
  <si>
    <t>BEARING ISOLATOR</t>
  </si>
  <si>
    <t>THROAT BUSHING</t>
  </si>
  <si>
    <t>SHIM</t>
  </si>
  <si>
    <t>CONSTANT LEVEL OILER</t>
  </si>
  <si>
    <t>AIR RELEASE FILTER</t>
  </si>
  <si>
    <t>FAN</t>
  </si>
  <si>
    <t>BEARING NUT</t>
  </si>
  <si>
    <t>LOCK WASHER</t>
  </si>
  <si>
    <t>KEY</t>
  </si>
  <si>
    <t>204500908001</t>
  </si>
  <si>
    <t>204796015554</t>
  </si>
  <si>
    <t>SULZER PUMPS INDIA PVT. LTD.</t>
  </si>
  <si>
    <t>230.214</t>
  </si>
  <si>
    <t>ASTM A743</t>
  </si>
  <si>
    <t>AISI</t>
  </si>
  <si>
    <t>-</t>
  </si>
  <si>
    <t>592.329</t>
  </si>
  <si>
    <t>831.381</t>
  </si>
  <si>
    <t>ASTM B26</t>
  </si>
  <si>
    <t>940.352</t>
  </si>
  <si>
    <t>940.362</t>
  </si>
  <si>
    <t>VEN-4391-MTY-5-43-0001</t>
  </si>
  <si>
    <t>CENTRIFUGAL PUMPS</t>
  </si>
  <si>
    <t>EPIC for New Effluent Water Treatment Plant for NG</t>
  </si>
  <si>
    <t>QATAR ENERGY</t>
  </si>
  <si>
    <t>Manufaturer Details</t>
  </si>
  <si>
    <t>Sulzer Pumps India Private Limited</t>
  </si>
  <si>
    <t xml:space="preserve">Website:  </t>
  </si>
  <si>
    <t>www.sulzer.com</t>
  </si>
  <si>
    <t xml:space="preserve">Address: </t>
  </si>
  <si>
    <t>9,MIDC,THANE-BELAPUR ROAD,DIGHA POST AIROLI, NAVI MUMBAI-400708.</t>
  </si>
  <si>
    <t xml:space="preserve">GST No. </t>
  </si>
  <si>
    <t>27AAACK2238F1ZU</t>
  </si>
  <si>
    <t>Tel. No.:</t>
  </si>
  <si>
    <t>+91-9867560915</t>
  </si>
  <si>
    <t xml:space="preserve">Email ID </t>
  </si>
  <si>
    <t>Shankar.Kulkarni@sulzer.com
Swapnil.yadav@sulzer.com</t>
  </si>
  <si>
    <t xml:space="preserve">Contact Person: </t>
  </si>
  <si>
    <t>Shankar Kulkarni</t>
  </si>
  <si>
    <t>Swapnil Yadav</t>
  </si>
  <si>
    <t>PAN No.</t>
  </si>
  <si>
    <t>AAACK2238F</t>
  </si>
  <si>
    <t>OCVL-2X3X10H-1</t>
  </si>
  <si>
    <t>OCVSF 25-26</t>
  </si>
  <si>
    <t>665426 / 665427</t>
  </si>
  <si>
    <t>665428 / 665429</t>
  </si>
  <si>
    <t>665430 / 665431</t>
  </si>
  <si>
    <t>665432 / 665433</t>
  </si>
  <si>
    <t>PUMP SHAFT</t>
  </si>
  <si>
    <t>GASKET</t>
  </si>
  <si>
    <t>O-RING</t>
  </si>
  <si>
    <t>THROWER</t>
  </si>
  <si>
    <t>BEARING SLEEVE</t>
  </si>
  <si>
    <t>BEARING BUSHING</t>
  </si>
  <si>
    <t>VEN-4391-M1UT-5-59-0009</t>
  </si>
  <si>
    <t>204530128009</t>
  </si>
  <si>
    <t>211.123</t>
  </si>
  <si>
    <t>ASTM A479</t>
  </si>
  <si>
    <t>204502887017</t>
  </si>
  <si>
    <t>505179100010</t>
  </si>
  <si>
    <t>017733615312</t>
  </si>
  <si>
    <t>320.305</t>
  </si>
  <si>
    <t>021026040726</t>
  </si>
  <si>
    <t>400.107</t>
  </si>
  <si>
    <t>ASME B16.20</t>
  </si>
  <si>
    <t>400.119</t>
  </si>
  <si>
    <t>204501626236</t>
  </si>
  <si>
    <t>400.120</t>
  </si>
  <si>
    <t>204501626224</t>
  </si>
  <si>
    <t>400.128</t>
  </si>
  <si>
    <t>204531573001</t>
  </si>
  <si>
    <t>400.512</t>
  </si>
  <si>
    <t>021702009205</t>
  </si>
  <si>
    <t>412.445</t>
  </si>
  <si>
    <t>ISO1629/ASTM D1418</t>
  </si>
  <si>
    <t>021702016465</t>
  </si>
  <si>
    <t>412.513</t>
  </si>
  <si>
    <t>204871312006</t>
  </si>
  <si>
    <t>426.361</t>
  </si>
  <si>
    <t>204500868030</t>
  </si>
  <si>
    <t>456.224</t>
  </si>
  <si>
    <t>204531194001</t>
  </si>
  <si>
    <t>456.428</t>
  </si>
  <si>
    <t>204509535061</t>
  </si>
  <si>
    <t>507.355</t>
  </si>
  <si>
    <t>204534906001</t>
  </si>
  <si>
    <t>529.304</t>
  </si>
  <si>
    <t>204528634001</t>
  </si>
  <si>
    <t>545.117</t>
  </si>
  <si>
    <t>VEN-4391-M1UT-5-59-0006
VEN-4391-M1UT-5-59-0007
VEN-4391-M1UT-5-59-0008
VEN-4391-M1UT-5-59-0009</t>
  </si>
  <si>
    <t>VEN-4391-M1UT-5-59-0006
VEN-4391-M1UT-5-59-0007
VEN-4391-M1UT-5-59-0008</t>
  </si>
  <si>
    <t>204528765001</t>
  </si>
  <si>
    <t>545.212</t>
  </si>
  <si>
    <t>WASHER</t>
  </si>
  <si>
    <t>OIL RETAINING SHIELD</t>
  </si>
  <si>
    <t>SLEEVE COUPLING</t>
  </si>
  <si>
    <t>HEX. HEAD SCREW</t>
  </si>
  <si>
    <t>204503178003</t>
  </si>
  <si>
    <t>554.220</t>
  </si>
  <si>
    <t>204870929001</t>
  </si>
  <si>
    <t>638.358</t>
  </si>
  <si>
    <t>204870919001</t>
  </si>
  <si>
    <t>649.303</t>
  </si>
  <si>
    <t>204870933001</t>
  </si>
  <si>
    <t>649.321</t>
  </si>
  <si>
    <t>673.331</t>
  </si>
  <si>
    <t>204870936001</t>
  </si>
  <si>
    <t>507085933001</t>
  </si>
  <si>
    <t>204528858008</t>
  </si>
  <si>
    <t>849.171</t>
  </si>
  <si>
    <t>104753486001</t>
  </si>
  <si>
    <t>901.221</t>
  </si>
  <si>
    <t>204870930001</t>
  </si>
  <si>
    <t>923.332</t>
  </si>
  <si>
    <t>015507500341</t>
  </si>
  <si>
    <t>931.325</t>
  </si>
  <si>
    <t>017011514160</t>
  </si>
  <si>
    <t>940.172</t>
  </si>
  <si>
    <t>017011514161</t>
  </si>
  <si>
    <t>940.330</t>
  </si>
  <si>
    <t>017011854422</t>
  </si>
  <si>
    <t>BS 970</t>
  </si>
  <si>
    <t>017010614287</t>
  </si>
  <si>
    <t>100523634-10</t>
  </si>
  <si>
    <t>100523634-20</t>
  </si>
  <si>
    <t>100523634-30</t>
  </si>
  <si>
    <t>100523634-40</t>
  </si>
  <si>
    <t>OCVSF 40-20</t>
  </si>
  <si>
    <t>665434 / 665435</t>
  </si>
  <si>
    <t>665436 / 665437</t>
  </si>
  <si>
    <t>665438 / 665439</t>
  </si>
  <si>
    <t>665440 / 665441</t>
  </si>
  <si>
    <t>VEN-4391-M3UT-5-59-0009</t>
  </si>
  <si>
    <t>505167326010</t>
  </si>
  <si>
    <t>VEN-4391-M1UT-5-59-0010</t>
  </si>
  <si>
    <t>VEN-4391-M1UT-5-59-0010
VEN-4391-M3UT-5-59-0009</t>
  </si>
  <si>
    <t>VEN-4391-M1UT-5-59-0010
VEN-4391-M3UT-5-59-0009
VEN-4391-M2UT-5-59-0004
VEN-4391-M2UT-5-59-0005</t>
  </si>
  <si>
    <t>VEN-4391-M2UT-5-59-0004
VEN-4391-M2UT-5-59-0005</t>
  </si>
  <si>
    <t>100523634-50</t>
  </si>
  <si>
    <t>100523634-60</t>
  </si>
  <si>
    <t>100523634-70</t>
  </si>
  <si>
    <t>100523634-80</t>
  </si>
  <si>
    <t>665442 / 665443</t>
  </si>
  <si>
    <t>665444 / 665445</t>
  </si>
  <si>
    <t>665446 / 665447</t>
  </si>
  <si>
    <t>665448 / 665449</t>
  </si>
  <si>
    <t>VEN-4391-M3UT-5-59-0010</t>
  </si>
  <si>
    <t>VEN-4391-M2UT-5-59-0006
VEN-4391-M3UT-5-59-0010
VEN-4391-M3UT-5-59-0011
VEN-4391-M3UT-5-59-0012</t>
  </si>
  <si>
    <t>VEN-4391-M2UT-5-59-0006
VEN-4391-M3UT-5-59-0011
VEN-4391-M3UT-5-59-0012</t>
  </si>
  <si>
    <t>100523634-90</t>
  </si>
  <si>
    <t>100523634-100</t>
  </si>
  <si>
    <t>100523634-110</t>
  </si>
  <si>
    <t>100523634-120</t>
  </si>
  <si>
    <t>OCVSF 40-26</t>
  </si>
  <si>
    <t>OCVL-2X3X10J-1</t>
  </si>
  <si>
    <t>665450 / 665451</t>
  </si>
  <si>
    <t>665452 / 665453</t>
  </si>
  <si>
    <t>665454 / 665455</t>
  </si>
  <si>
    <t>665456 / 665457</t>
  </si>
  <si>
    <t>VEN-4391-M3UT-5-59-0016</t>
  </si>
  <si>
    <t>204502888012</t>
  </si>
  <si>
    <t>VEN-4391-M3UT-5-59-0014</t>
  </si>
  <si>
    <t>100523634-130</t>
  </si>
  <si>
    <t>100523634-140</t>
  </si>
  <si>
    <t>100523634-150</t>
  </si>
  <si>
    <t>100523634-160</t>
  </si>
  <si>
    <r>
      <t xml:space="preserve">VEN-4391-M3UT-5-59-0013
VEN-4391-M3UT-5-59-0014
</t>
    </r>
    <r>
      <rPr>
        <sz val="5"/>
        <color rgb="FFFF0000"/>
        <rFont val="Small Fonts"/>
      </rPr>
      <t>VEN-4391-M3UT-5-59-0015
VEN-4391-M3UT-5-59-0016</t>
    </r>
  </si>
  <si>
    <t>VEN-4391-M3UT-5-59-0013
VEN-4391-M3UT-5-59-0014
VEN-4391-M3UT-5-59-0015
VEN-4391-M3UT-5-59-0016</t>
  </si>
  <si>
    <t>OCVSF 50-32</t>
  </si>
  <si>
    <t>665458 / 665459</t>
  </si>
  <si>
    <t>VEN-4391-M489-5-59-0002</t>
  </si>
  <si>
    <t>505189101010</t>
  </si>
  <si>
    <t>100523634-170</t>
  </si>
  <si>
    <t>SPI</t>
  </si>
  <si>
    <t>VEN-4391-M3UT-5-59-0013
VEN-4391-M3UT-5-59-0015</t>
  </si>
  <si>
    <t>ANGULAR CONTACT BALL BEARING ( 7312 BECBM )</t>
  </si>
  <si>
    <r>
      <t xml:space="preserve">ANGULAR CONTACT BALL BEARING </t>
    </r>
    <r>
      <rPr>
        <sz val="5"/>
        <color rgb="FFFF0000"/>
        <rFont val="Small Fonts"/>
      </rPr>
      <t>( 7312 BECBM )</t>
    </r>
  </si>
  <si>
    <t>REV.05</t>
  </si>
  <si>
    <t>P-8947 A/B</t>
  </si>
  <si>
    <t>6834-P-56 A/B</t>
  </si>
  <si>
    <t>6834-P-57 A/B</t>
  </si>
  <si>
    <t>6834-P-58 A/B</t>
  </si>
  <si>
    <t>6834-P-62 A/B</t>
  </si>
  <si>
    <t>P-1688 A/B</t>
  </si>
  <si>
    <t>6834-P-50 A/B</t>
  </si>
  <si>
    <t>6834-P-52 A/B</t>
  </si>
  <si>
    <t>6834-P-53 A/B</t>
  </si>
  <si>
    <t>P-1765 A/B</t>
  </si>
  <si>
    <t>6834-P-64 A/B</t>
  </si>
  <si>
    <t>P-2022 A/B</t>
  </si>
  <si>
    <t>P-1686 A/B</t>
  </si>
  <si>
    <t>P-3425 A/B</t>
  </si>
  <si>
    <t>P-1684 A/B</t>
  </si>
  <si>
    <t>P-2692 A/B</t>
  </si>
  <si>
    <t>P-2693 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</si>
</sst>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41">
    <font>
      <sz val="10"/>
      <name val="Arial"/>
    </font>
    <font>
      <sz val="10"/>
      <color indexed="10"/>
      <name val="Arial"/>
      <family val="2"/>
    </font>
    <font>
      <sz val="4"/>
      <color indexed="10"/>
      <name val="Small Fonts"/>
      <family val="2"/>
    </font>
    <font>
      <sz val="5"/>
      <color indexed="10"/>
      <name val="Small Fonts"/>
      <family val="2"/>
    </font>
    <font>
      <sz val="8"/>
      <color indexed="10"/>
      <name val="Arial"/>
      <family val="2"/>
    </font>
    <font>
      <sz val="5"/>
      <color indexed="10"/>
      <name val="Small Fonts"/>
    </font>
    <font>
      <b/>
      <sz val="8"/>
      <color indexed="10"/>
      <name val="Arial"/>
      <family val="2"/>
    </font>
    <font>
      <sz val="3"/>
      <color indexed="10"/>
      <name val="Small Fonts"/>
      <family val="2"/>
    </font>
    <font>
      <sz val="6"/>
      <color indexed="10"/>
      <name val="Small Fonts"/>
      <family val="2"/>
    </font>
    <font>
      <sz val="5"/>
      <color indexed="62"/>
      <name val="Small Fonts"/>
      <family val="2"/>
    </font>
    <font>
      <b/>
      <sz val="12"/>
      <color indexed="17"/>
      <name val="Arial"/>
      <family val="2"/>
    </font>
    <font>
      <b/>
      <u/>
      <sz val="6.5"/>
      <color indexed="32"/>
      <name val="Small Fonts"/>
      <family val="2"/>
    </font>
    <font>
      <sz val="6.5"/>
      <color indexed="32"/>
      <name val="Small Fonts"/>
      <family val="2"/>
    </font>
    <font>
      <b/>
      <sz val="6.5"/>
      <color indexed="32"/>
      <name val="Small Fonts"/>
      <family val="2"/>
    </font>
    <font>
      <b/>
      <sz val="8"/>
      <color indexed="48"/>
      <name val="Desdemona"/>
    </font>
    <font>
      <b/>
      <u/>
      <sz val="8"/>
      <color indexed="48"/>
      <name val="Desdemona"/>
    </font>
    <font>
      <b/>
      <sz val="14"/>
      <color indexed="61"/>
      <name val="Map Symbols"/>
    </font>
    <font>
      <sz val="10"/>
      <color rgb="FF000000"/>
      <name val="Arial"/>
      <family val="2"/>
    </font>
    <font>
      <b/>
      <sz val="10"/>
      <color indexed="10"/>
      <name val="Arial"/>
      <family val="2"/>
    </font>
    <font>
      <sz val="10"/>
      <name val="Arial"/>
      <family val="2"/>
    </font>
    <font>
      <sz val="8"/>
      <color rgb="FF000000"/>
      <name val="Segoe UI"/>
      <family val="2"/>
    </font>
    <font>
      <sz val="5"/>
      <color indexed="10"/>
      <name val="Arial"/>
      <family val="2"/>
    </font>
    <font>
      <sz val="3"/>
      <color indexed="10"/>
      <name val="Arial"/>
      <family val="2"/>
    </font>
    <font>
      <sz val="5.5"/>
      <color indexed="10"/>
      <name val="Arial"/>
      <family val="2"/>
    </font>
    <font>
      <sz val="4"/>
      <color indexed="10"/>
      <name val="Arial"/>
      <family val="2"/>
    </font>
    <font>
      <b/>
      <sz val="5"/>
      <color indexed="10"/>
      <name val="Arial"/>
      <family val="2"/>
    </font>
    <font>
      <b/>
      <u/>
      <sz val="5"/>
      <color rgb="FFFF0000"/>
      <name val="Arial"/>
      <family val="2"/>
    </font>
    <font>
      <b/>
      <sz val="5"/>
      <color rgb="FFFF0000"/>
      <name val="Arial"/>
      <family val="2"/>
    </font>
    <font>
      <sz val="5"/>
      <color rgb="FFFF0000"/>
      <name val="Arial"/>
      <family val="2"/>
    </font>
    <font>
      <b/>
      <i/>
      <u/>
      <sz val="5"/>
      <color indexed="10"/>
      <name val="Arial"/>
      <family val="2"/>
    </font>
    <font>
      <sz val="9"/>
      <color indexed="81"/>
      <name val="Tahoma"/>
      <family val="2"/>
    </font>
    <font>
      <sz val="3"/>
      <color rgb="FFFF0000"/>
      <name val="Arial"/>
      <family val="2"/>
    </font>
    <font>
      <sz val="5"/>
      <color indexed="81"/>
      <name val="Arial"/>
      <family val="2"/>
    </font>
    <font>
      <sz val="5"/>
      <name val="Arial"/>
      <family val="2"/>
    </font>
    <font>
      <sz val="5"/>
      <name val="Small Fonts"/>
      <family val="2"/>
    </font>
    <font>
      <sz val="5"/>
      <color rgb="FFFF0000"/>
      <name val="Small Fonts"/>
      <family val="2"/>
    </font>
    <font>
      <sz val="6"/>
      <color rgb="FFFF0000"/>
      <name val="Arial"/>
      <family val="2"/>
    </font>
    <font>
      <sz val="8"/>
      <name val="Arial"/>
      <family val="2"/>
    </font>
    <font>
      <sz val="5"/>
      <color rgb="FFFF0000"/>
      <name val="Small Fonts"/>
    </font>
    <font>
      <sz val="8"/>
      <color indexed="10"/>
      <name val="Small Fonts"/>
      <family val="2"/>
    </font>
    <font>
      <sz val="10"/>
      <name val="Arial"/>
      <family val="2"/>
    </font>
  </fonts>
  <fills count="6">
    <fill>
      <patternFill patternType="none"/>
    </fill>
    <fill>
      <patternFill patternType="gray125"/>
    </fill>
    <fill>
      <patternFill patternType="solid">
        <fgColor indexed="9"/>
        <bgColor indexed="64"/>
      </patternFill>
    </fill>
    <fill>
      <patternFill patternType="gray0625">
        <bgColor indexed="9"/>
      </patternFill>
    </fill>
    <fill>
      <patternFill patternType="solid">
        <fgColor rgb="FFFFFF00"/>
        <bgColor indexed="64"/>
      </patternFill>
    </fill>
    <fill>
      <patternFill patternType="solid">
        <fgColor theme="9"/>
        <bgColor indexed="64"/>
      </patternFill>
    </fill>
  </fills>
  <borders count="66">
    <border>
      <left/>
      <right/>
      <top/>
      <bottom/>
      <diagonal/>
    </border>
    <border>
      <left style="thick">
        <color indexed="64"/>
      </left>
      <right/>
      <top style="thick">
        <color indexed="64"/>
      </top>
      <bottom/>
      <diagonal/>
    </border>
    <border>
      <left style="thick">
        <color indexed="64"/>
      </left>
      <right/>
      <top/>
      <bottom/>
      <diagonal/>
    </border>
    <border>
      <left style="thin">
        <color indexed="64"/>
      </left>
      <right style="medium">
        <color indexed="64"/>
      </right>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bottom style="medium">
        <color indexed="64"/>
      </bottom>
      <diagonal/>
    </border>
    <border>
      <left style="thin">
        <color indexed="64"/>
      </left>
      <right style="medium">
        <color indexed="64"/>
      </right>
      <top/>
      <bottom style="medium">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ck">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style="thin">
        <color indexed="64"/>
      </bottom>
      <diagonal/>
    </border>
    <border>
      <left style="medium">
        <color indexed="64"/>
      </left>
      <right/>
      <top/>
      <bottom/>
      <diagonal/>
    </border>
    <border>
      <left style="thick">
        <color indexed="64"/>
      </left>
      <right/>
      <top/>
      <bottom style="thick">
        <color indexed="64"/>
      </bottom>
      <diagonal/>
    </border>
    <border>
      <left/>
      <right/>
      <top style="thin">
        <color indexed="64"/>
      </top>
      <bottom style="thick">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right style="medium">
        <color indexed="64"/>
      </right>
      <top style="thin">
        <color indexed="64"/>
      </top>
      <bottom style="thick">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s>
  <cellStyleXfs count="3">
    <xf numFmtId="0" fontId="0" fillId="0" borderId="0"/>
    <xf numFmtId="0" fontId="19" fillId="0" borderId="0"/>
    <xf numFmtId="43" fontId="40" fillId="0" borderId="0" applyFont="0" applyFill="0" applyBorder="0" applyAlignment="0" applyProtection="0"/>
  </cellStyleXfs>
  <cellXfs count="287">
    <xf numFmtId="0" fontId="0" fillId="0" borderId="0" xfId="0"/>
    <xf numFmtId="0" fontId="1" fillId="2" borderId="1" xfId="0" applyFont="1" applyFill="1" applyBorder="1"/>
    <xf numFmtId="0" fontId="1" fillId="2" borderId="2" xfId="0" applyFont="1" applyFill="1" applyBorder="1"/>
    <xf numFmtId="0" fontId="5" fillId="3" borderId="7" xfId="0" applyFont="1" applyFill="1" applyBorder="1" applyAlignment="1">
      <alignment horizontal="center" vertical="center" wrapText="1"/>
    </xf>
    <xf numFmtId="0" fontId="3" fillId="3" borderId="5" xfId="0" applyFont="1" applyFill="1" applyBorder="1" applyAlignment="1">
      <alignment horizontal="centerContinuous" vertical="center" wrapText="1"/>
    </xf>
    <xf numFmtId="0" fontId="3" fillId="3" borderId="6" xfId="0" applyFont="1" applyFill="1" applyBorder="1" applyAlignment="1">
      <alignment horizontal="centerContinuous" vertical="center" wrapText="1"/>
    </xf>
    <xf numFmtId="0" fontId="1" fillId="2" borderId="10" xfId="0" applyFont="1" applyFill="1" applyBorder="1"/>
    <xf numFmtId="0" fontId="3" fillId="3" borderId="13" xfId="0" applyFont="1" applyFill="1" applyBorder="1" applyAlignment="1">
      <alignment horizontal="center" vertical="center" wrapText="1"/>
    </xf>
    <xf numFmtId="0" fontId="1" fillId="2" borderId="16" xfId="0" applyFont="1" applyFill="1" applyBorder="1"/>
    <xf numFmtId="0" fontId="3" fillId="3" borderId="19" xfId="0" applyFont="1" applyFill="1" applyBorder="1" applyAlignment="1">
      <alignment horizontal="left" vertical="center" wrapText="1"/>
    </xf>
    <xf numFmtId="0" fontId="1" fillId="2" borderId="10" xfId="0" applyFont="1" applyFill="1" applyBorder="1" applyAlignment="1">
      <alignment horizontal="center" vertical="top"/>
    </xf>
    <xf numFmtId="0" fontId="3" fillId="2" borderId="22" xfId="0" applyFont="1" applyFill="1" applyBorder="1" applyAlignment="1">
      <alignment horizontal="center" vertical="center" textRotation="90" wrapText="1"/>
    </xf>
    <xf numFmtId="0" fontId="7" fillId="2" borderId="22" xfId="0" applyFont="1" applyFill="1" applyBorder="1" applyAlignment="1">
      <alignment horizontal="center" vertical="center" textRotation="90" wrapText="1"/>
    </xf>
    <xf numFmtId="0" fontId="4" fillId="2" borderId="19" xfId="0" applyFont="1" applyFill="1" applyBorder="1" applyAlignment="1">
      <alignment horizontal="centerContinuous" vertical="center"/>
    </xf>
    <xf numFmtId="0" fontId="4" fillId="2" borderId="20" xfId="0" applyFont="1" applyFill="1" applyBorder="1" applyAlignment="1">
      <alignment horizontal="centerContinuous" vertical="center"/>
    </xf>
    <xf numFmtId="0" fontId="4" fillId="2" borderId="21" xfId="0" applyFont="1" applyFill="1" applyBorder="1" applyAlignment="1">
      <alignment horizontal="centerContinuous" vertical="center"/>
    </xf>
    <xf numFmtId="0" fontId="2" fillId="2" borderId="23" xfId="0" applyFont="1" applyFill="1" applyBorder="1" applyAlignment="1">
      <alignment horizontal="centerContinuous" vertical="center" wrapText="1"/>
    </xf>
    <xf numFmtId="0" fontId="2" fillId="2" borderId="24" xfId="0" applyFont="1" applyFill="1" applyBorder="1" applyAlignment="1">
      <alignment horizontal="centerContinuous" vertical="center" wrapText="1"/>
    </xf>
    <xf numFmtId="0" fontId="2" fillId="2" borderId="19" xfId="0" applyFont="1" applyFill="1" applyBorder="1" applyAlignment="1">
      <alignment horizontal="centerContinuous" vertical="center" wrapText="1"/>
    </xf>
    <xf numFmtId="0" fontId="2" fillId="2" borderId="21" xfId="0" applyFont="1" applyFill="1" applyBorder="1" applyAlignment="1">
      <alignment horizontal="centerContinuous" vertical="center" wrapText="1"/>
    </xf>
    <xf numFmtId="0" fontId="1" fillId="2" borderId="25" xfId="0" applyFont="1" applyFill="1" applyBorder="1" applyAlignment="1">
      <alignment horizontal="center" vertical="center"/>
    </xf>
    <xf numFmtId="0" fontId="3" fillId="2" borderId="28" xfId="0" applyFont="1" applyFill="1" applyBorder="1" applyAlignment="1">
      <alignment horizontal="center" vertical="center" textRotation="90" wrapText="1"/>
    </xf>
    <xf numFmtId="0" fontId="4" fillId="2" borderId="29" xfId="0" applyFont="1" applyFill="1" applyBorder="1" applyAlignment="1">
      <alignment horizontal="center" vertical="center" wrapText="1"/>
    </xf>
    <xf numFmtId="0" fontId="4" fillId="3" borderId="29" xfId="0" applyFont="1" applyFill="1" applyBorder="1" applyAlignment="1">
      <alignment horizontal="center" vertical="center" wrapText="1"/>
    </xf>
    <xf numFmtId="0" fontId="1" fillId="2" borderId="29" xfId="0" applyFont="1" applyFill="1" applyBorder="1"/>
    <xf numFmtId="0" fontId="1" fillId="2" borderId="29" xfId="0" applyFont="1" applyFill="1" applyBorder="1" applyAlignment="1">
      <alignment horizontal="center" vertical="center"/>
    </xf>
    <xf numFmtId="0" fontId="1" fillId="3" borderId="29" xfId="0" applyFont="1" applyFill="1" applyBorder="1" applyAlignment="1">
      <alignment horizontal="center" vertical="center"/>
    </xf>
    <xf numFmtId="0" fontId="2" fillId="2" borderId="18" xfId="0" applyFont="1" applyFill="1" applyBorder="1" applyAlignment="1">
      <alignment horizontal="center" vertical="center" textRotation="90" wrapText="1"/>
    </xf>
    <xf numFmtId="0" fontId="4" fillId="2" borderId="44" xfId="0" applyFont="1" applyFill="1" applyBorder="1" applyAlignment="1">
      <alignment horizontal="left" vertical="center"/>
    </xf>
    <xf numFmtId="0" fontId="3" fillId="2" borderId="23" xfId="0" applyFont="1" applyFill="1" applyBorder="1" applyAlignment="1">
      <alignment horizontal="centerContinuous" vertical="center"/>
    </xf>
    <xf numFmtId="0" fontId="3" fillId="2" borderId="45" xfId="0" applyFont="1" applyFill="1" applyBorder="1" applyAlignment="1">
      <alignment horizontal="centerContinuous" vertical="center"/>
    </xf>
    <xf numFmtId="0" fontId="2" fillId="2" borderId="3" xfId="0" applyFont="1" applyFill="1" applyBorder="1" applyAlignment="1">
      <alignment horizontal="center" vertical="center" textRotation="90" wrapText="1"/>
    </xf>
    <xf numFmtId="0" fontId="4" fillId="2" borderId="46" xfId="0" applyFont="1" applyFill="1" applyBorder="1" applyAlignment="1">
      <alignment horizontal="left" vertical="center"/>
    </xf>
    <xf numFmtId="0" fontId="3" fillId="2" borderId="8" xfId="0" applyFont="1" applyFill="1" applyBorder="1" applyAlignment="1">
      <alignment horizontal="centerContinuous" vertical="center"/>
    </xf>
    <xf numFmtId="0" fontId="3" fillId="2" borderId="9" xfId="0" applyFont="1" applyFill="1" applyBorder="1" applyAlignment="1">
      <alignment horizontal="centerContinuous" vertical="center"/>
    </xf>
    <xf numFmtId="0" fontId="4" fillId="2" borderId="13" xfId="0" applyFont="1" applyFill="1" applyBorder="1" applyAlignment="1">
      <alignment horizontal="left" vertical="center"/>
    </xf>
    <xf numFmtId="0" fontId="11" fillId="3" borderId="44" xfId="0" applyFont="1" applyFill="1" applyBorder="1" applyAlignment="1">
      <alignment horizontal="centerContinuous" vertical="center" wrapText="1"/>
    </xf>
    <xf numFmtId="0" fontId="13" fillId="3" borderId="6" xfId="0" applyFont="1" applyFill="1" applyBorder="1" applyAlignment="1">
      <alignment horizontal="centerContinuous" vertical="center" wrapText="1"/>
    </xf>
    <xf numFmtId="0" fontId="3" fillId="2" borderId="8" xfId="0" applyFont="1" applyFill="1" applyBorder="1" applyAlignment="1">
      <alignment horizontal="left" vertical="center"/>
    </xf>
    <xf numFmtId="0" fontId="3" fillId="2" borderId="9" xfId="0" applyFont="1" applyFill="1" applyBorder="1" applyAlignment="1">
      <alignment horizontal="left" vertical="center"/>
    </xf>
    <xf numFmtId="0" fontId="1" fillId="2" borderId="47" xfId="0" applyFont="1" applyFill="1" applyBorder="1"/>
    <xf numFmtId="0" fontId="4" fillId="2" borderId="29" xfId="0" applyFont="1" applyFill="1" applyBorder="1" applyAlignment="1">
      <alignment horizontal="center" vertical="center"/>
    </xf>
    <xf numFmtId="0" fontId="2" fillId="2" borderId="3" xfId="0" applyFont="1" applyFill="1" applyBorder="1" applyAlignment="1">
      <alignment horizontal="center" vertical="center" textRotation="90"/>
    </xf>
    <xf numFmtId="0" fontId="2" fillId="2" borderId="3" xfId="0" applyFont="1" applyFill="1" applyBorder="1" applyAlignment="1">
      <alignment horizontal="center" textRotation="90" wrapText="1"/>
    </xf>
    <xf numFmtId="0" fontId="1" fillId="4" borderId="29" xfId="0" applyFont="1" applyFill="1" applyBorder="1" applyAlignment="1">
      <alignment horizontal="center" vertical="center"/>
    </xf>
    <xf numFmtId="0" fontId="4" fillId="4" borderId="29" xfId="0" applyFont="1" applyFill="1" applyBorder="1" applyAlignment="1">
      <alignment horizontal="center" vertical="center" wrapText="1"/>
    </xf>
    <xf numFmtId="0" fontId="0" fillId="5" borderId="35" xfId="0" applyFill="1" applyBorder="1"/>
    <xf numFmtId="0" fontId="0" fillId="0" borderId="35" xfId="0" applyBorder="1"/>
    <xf numFmtId="49" fontId="19" fillId="0" borderId="0" xfId="0" applyNumberFormat="1" applyFont="1"/>
    <xf numFmtId="0" fontId="19" fillId="0" borderId="0" xfId="0" applyFont="1"/>
    <xf numFmtId="0" fontId="19" fillId="0" borderId="35" xfId="0" applyFont="1" applyBorder="1"/>
    <xf numFmtId="0" fontId="3" fillId="2" borderId="30" xfId="0" applyFont="1" applyFill="1" applyBorder="1" applyAlignment="1" applyProtection="1">
      <alignment horizontal="left" vertical="center" wrapText="1"/>
      <protection locked="0"/>
    </xf>
    <xf numFmtId="0" fontId="3" fillId="2" borderId="30" xfId="0" applyFont="1" applyFill="1" applyBorder="1" applyAlignment="1" applyProtection="1">
      <alignment horizontal="center" vertical="center" wrapText="1"/>
      <protection locked="0"/>
    </xf>
    <xf numFmtId="4" fontId="3" fillId="2" borderId="33" xfId="0" applyNumberFormat="1" applyFont="1" applyFill="1" applyBorder="1" applyAlignment="1" applyProtection="1">
      <alignment horizontal="center" vertical="center" wrapText="1"/>
      <protection locked="0"/>
    </xf>
    <xf numFmtId="0" fontId="3" fillId="2" borderId="50" xfId="0" applyFont="1" applyFill="1" applyBorder="1" applyAlignment="1" applyProtection="1">
      <alignment horizontal="left" vertical="center" wrapText="1"/>
      <protection locked="0"/>
    </xf>
    <xf numFmtId="0" fontId="3" fillId="2" borderId="35" xfId="0" applyFont="1" applyFill="1" applyBorder="1" applyAlignment="1" applyProtection="1">
      <alignment horizontal="left" vertical="center" wrapText="1"/>
      <protection locked="0"/>
    </xf>
    <xf numFmtId="0" fontId="4" fillId="0" borderId="29" xfId="0" applyFont="1" applyBorder="1" applyAlignment="1">
      <alignment horizontal="center" vertical="center"/>
    </xf>
    <xf numFmtId="0" fontId="3" fillId="2" borderId="35" xfId="0" applyFont="1" applyFill="1" applyBorder="1" applyAlignment="1" applyProtection="1">
      <alignment horizontal="center" vertical="center" wrapText="1"/>
      <protection locked="0"/>
    </xf>
    <xf numFmtId="0" fontId="3" fillId="2" borderId="37" xfId="0" applyFont="1" applyFill="1" applyBorder="1" applyAlignment="1" applyProtection="1">
      <alignment horizontal="center" vertical="center" wrapText="1"/>
      <protection locked="0"/>
    </xf>
    <xf numFmtId="4" fontId="3" fillId="2" borderId="38" xfId="0" applyNumberFormat="1" applyFont="1" applyFill="1" applyBorder="1" applyAlignment="1" applyProtection="1">
      <alignment horizontal="center" vertical="center" wrapText="1"/>
      <protection locked="0"/>
    </xf>
    <xf numFmtId="0" fontId="3" fillId="2" borderId="50" xfId="0" applyFont="1" applyFill="1" applyBorder="1" applyAlignment="1" applyProtection="1">
      <alignment horizontal="center" vertical="center" wrapText="1"/>
      <protection locked="0"/>
    </xf>
    <xf numFmtId="4" fontId="3" fillId="2" borderId="52" xfId="0" applyNumberFormat="1" applyFont="1" applyFill="1" applyBorder="1" applyAlignment="1" applyProtection="1">
      <alignment horizontal="center" vertical="center" wrapText="1"/>
      <protection locked="0"/>
    </xf>
    <xf numFmtId="0" fontId="0" fillId="0" borderId="0" xfId="0" applyProtection="1">
      <protection locked="0"/>
    </xf>
    <xf numFmtId="0" fontId="1" fillId="0" borderId="5" xfId="0" applyFont="1" applyBorder="1"/>
    <xf numFmtId="0" fontId="4" fillId="0" borderId="0" xfId="0" applyFont="1"/>
    <xf numFmtId="0" fontId="4" fillId="0" borderId="0" xfId="0" applyFont="1" applyAlignment="1">
      <alignment horizontal="center" vertical="center" textRotation="90"/>
    </xf>
    <xf numFmtId="0" fontId="4" fillId="0" borderId="0" xfId="0" applyFont="1" applyAlignment="1">
      <alignment horizontal="center" textRotation="90"/>
    </xf>
    <xf numFmtId="0" fontId="4" fillId="0" borderId="0" xfId="0" applyFont="1" applyAlignment="1">
      <alignment horizontal="center" vertical="top" textRotation="90"/>
    </xf>
    <xf numFmtId="0" fontId="3" fillId="0" borderId="0" xfId="0" applyFont="1" applyAlignment="1">
      <alignment horizontal="center" textRotation="90"/>
    </xf>
    <xf numFmtId="0" fontId="3" fillId="0" borderId="0" xfId="0" applyFont="1" applyAlignment="1">
      <alignment horizontal="center" vertical="top" textRotation="90"/>
    </xf>
    <xf numFmtId="0" fontId="3" fillId="0" borderId="0" xfId="0" applyFont="1" applyAlignment="1">
      <alignment horizontal="center" vertical="center" textRotation="90"/>
    </xf>
    <xf numFmtId="0" fontId="1" fillId="0" borderId="0" xfId="0" applyFont="1"/>
    <xf numFmtId="0" fontId="3" fillId="2" borderId="30" xfId="0" applyFont="1" applyFill="1" applyBorder="1" applyAlignment="1" applyProtection="1">
      <alignment horizontal="left" wrapText="1"/>
      <protection locked="0"/>
    </xf>
    <xf numFmtId="0" fontId="3" fillId="2" borderId="50" xfId="0" applyFont="1" applyFill="1" applyBorder="1" applyAlignment="1" applyProtection="1">
      <alignment horizontal="left" wrapText="1"/>
      <protection locked="0"/>
    </xf>
    <xf numFmtId="0" fontId="3" fillId="2" borderId="35" xfId="0" applyFont="1" applyFill="1" applyBorder="1" applyAlignment="1" applyProtection="1">
      <alignment horizontal="left" wrapText="1"/>
      <protection locked="0"/>
    </xf>
    <xf numFmtId="0" fontId="21" fillId="2" borderId="29" xfId="0" applyFont="1" applyFill="1" applyBorder="1" applyAlignment="1">
      <alignment horizontal="center" vertical="center" wrapText="1"/>
    </xf>
    <xf numFmtId="0" fontId="21" fillId="4" borderId="29" xfId="0" applyFont="1" applyFill="1" applyBorder="1" applyAlignment="1">
      <alignment horizontal="center" vertical="center" wrapText="1"/>
    </xf>
    <xf numFmtId="0" fontId="23" fillId="2" borderId="29" xfId="0" applyFont="1" applyFill="1" applyBorder="1" applyAlignment="1">
      <alignment horizontal="center" vertical="center" wrapText="1"/>
    </xf>
    <xf numFmtId="0" fontId="24" fillId="2" borderId="29" xfId="0" applyFont="1" applyFill="1" applyBorder="1" applyAlignment="1">
      <alignment horizontal="center" textRotation="90" wrapText="1"/>
    </xf>
    <xf numFmtId="0" fontId="24" fillId="3" borderId="29" xfId="0" applyFont="1" applyFill="1" applyBorder="1" applyAlignment="1">
      <alignment horizontal="center" textRotation="90" wrapText="1"/>
    </xf>
    <xf numFmtId="0" fontId="21" fillId="4" borderId="29" xfId="0" applyFont="1" applyFill="1" applyBorder="1" applyAlignment="1">
      <alignment horizontal="center" vertical="center" textRotation="90" wrapText="1"/>
    </xf>
    <xf numFmtId="0" fontId="21" fillId="3" borderId="29" xfId="0" applyFont="1" applyFill="1" applyBorder="1" applyAlignment="1">
      <alignment horizontal="center" vertical="center" textRotation="90" wrapText="1"/>
    </xf>
    <xf numFmtId="0" fontId="25" fillId="3" borderId="5" xfId="0" applyFont="1" applyFill="1" applyBorder="1" applyAlignment="1">
      <alignment horizontal="centerContinuous" vertical="center" wrapText="1"/>
    </xf>
    <xf numFmtId="0" fontId="21" fillId="2" borderId="26" xfId="0" applyFont="1" applyFill="1" applyBorder="1" applyAlignment="1">
      <alignment horizontal="center" textRotation="90" wrapText="1"/>
    </xf>
    <xf numFmtId="0" fontId="24" fillId="2" borderId="27" xfId="0" applyFont="1" applyFill="1" applyBorder="1" applyAlignment="1">
      <alignment horizontal="center" textRotation="90" wrapText="1"/>
    </xf>
    <xf numFmtId="0" fontId="4" fillId="2" borderId="5" xfId="0" applyFont="1" applyFill="1" applyBorder="1" applyAlignment="1">
      <alignment horizontal="centerContinuous" vertical="center"/>
    </xf>
    <xf numFmtId="0" fontId="3" fillId="2" borderId="40" xfId="0" applyFont="1" applyFill="1" applyBorder="1" applyAlignment="1" applyProtection="1">
      <alignment horizontal="center" vertical="center" wrapText="1"/>
      <protection locked="0"/>
    </xf>
    <xf numFmtId="0" fontId="3" fillId="2" borderId="4" xfId="0" applyFont="1" applyFill="1" applyBorder="1" applyAlignment="1" applyProtection="1">
      <alignment horizontal="center" vertical="center" wrapText="1"/>
      <protection locked="0"/>
    </xf>
    <xf numFmtId="4" fontId="3" fillId="2" borderId="43" xfId="0" applyNumberFormat="1" applyFont="1" applyFill="1" applyBorder="1" applyAlignment="1" applyProtection="1">
      <alignment horizontal="center" vertical="center" wrapText="1"/>
      <protection locked="0"/>
    </xf>
    <xf numFmtId="0" fontId="3" fillId="2" borderId="53" xfId="0" applyFont="1" applyFill="1" applyBorder="1" applyAlignment="1" applyProtection="1">
      <alignment horizontal="center" vertical="center" wrapText="1"/>
      <protection locked="0"/>
    </xf>
    <xf numFmtId="1" fontId="3" fillId="0" borderId="30" xfId="0" applyNumberFormat="1" applyFont="1" applyBorder="1" applyAlignment="1" applyProtection="1">
      <alignment horizontal="center" vertical="center" wrapText="1"/>
      <protection locked="0"/>
    </xf>
    <xf numFmtId="0" fontId="2" fillId="2" borderId="51" xfId="0" applyFont="1" applyFill="1" applyBorder="1" applyAlignment="1" applyProtection="1">
      <alignment horizontal="center" vertical="center" wrapText="1"/>
      <protection locked="0"/>
    </xf>
    <xf numFmtId="0" fontId="2" fillId="2" borderId="37" xfId="0" applyFont="1" applyFill="1" applyBorder="1" applyAlignment="1" applyProtection="1">
      <alignment horizontal="center" vertical="center" wrapText="1"/>
      <protection locked="0"/>
    </xf>
    <xf numFmtId="0" fontId="2" fillId="2" borderId="32" xfId="0" applyFont="1" applyFill="1" applyBorder="1" applyAlignment="1" applyProtection="1">
      <alignment horizontal="center" vertical="center" wrapText="1"/>
      <protection locked="0"/>
    </xf>
    <xf numFmtId="0" fontId="2" fillId="2" borderId="42" xfId="0" applyFont="1" applyFill="1" applyBorder="1" applyAlignment="1" applyProtection="1">
      <alignment horizontal="center" vertical="center" wrapText="1"/>
      <protection locked="0"/>
    </xf>
    <xf numFmtId="0" fontId="2" fillId="2" borderId="30" xfId="0" applyFont="1" applyFill="1" applyBorder="1" applyAlignment="1" applyProtection="1">
      <alignment horizontal="left" vertical="center" wrapText="1"/>
      <protection locked="0"/>
    </xf>
    <xf numFmtId="0" fontId="2" fillId="2" borderId="35" xfId="0" applyFont="1" applyFill="1" applyBorder="1" applyAlignment="1" applyProtection="1">
      <alignment horizontal="left" vertical="center" wrapText="1"/>
      <protection locked="0"/>
    </xf>
    <xf numFmtId="0" fontId="2" fillId="2" borderId="50" xfId="0" applyFont="1" applyFill="1" applyBorder="1" applyAlignment="1" applyProtection="1">
      <alignment horizontal="left" vertical="center" wrapText="1"/>
      <protection locked="0"/>
    </xf>
    <xf numFmtId="0" fontId="1" fillId="0" borderId="29" xfId="0" applyFont="1" applyBorder="1" applyAlignment="1">
      <alignment horizontal="center" vertical="center"/>
    </xf>
    <xf numFmtId="1" fontId="3" fillId="0" borderId="35" xfId="0" applyNumberFormat="1" applyFont="1" applyBorder="1" applyAlignment="1" applyProtection="1">
      <alignment horizontal="center" vertical="center" wrapText="1"/>
      <protection locked="0"/>
    </xf>
    <xf numFmtId="1" fontId="3" fillId="0" borderId="50" xfId="0" applyNumberFormat="1" applyFont="1" applyBorder="1" applyAlignment="1" applyProtection="1">
      <alignment horizontal="center" vertical="center" wrapText="1"/>
      <protection locked="0"/>
    </xf>
    <xf numFmtId="0" fontId="1" fillId="2" borderId="7" xfId="0" applyFont="1" applyFill="1" applyBorder="1" applyProtection="1">
      <protection locked="0"/>
    </xf>
    <xf numFmtId="0" fontId="1" fillId="2" borderId="30" xfId="0" applyFont="1" applyFill="1" applyBorder="1" applyProtection="1">
      <protection locked="0"/>
    </xf>
    <xf numFmtId="0" fontId="1" fillId="2" borderId="31" xfId="0" applyFont="1" applyFill="1" applyBorder="1" applyProtection="1">
      <protection locked="0"/>
    </xf>
    <xf numFmtId="0" fontId="1" fillId="2" borderId="34" xfId="0" applyFont="1" applyFill="1" applyBorder="1" applyProtection="1">
      <protection locked="0"/>
    </xf>
    <xf numFmtId="0" fontId="1" fillId="2" borderId="35" xfId="0" applyFont="1" applyFill="1" applyBorder="1" applyProtection="1">
      <protection locked="0"/>
    </xf>
    <xf numFmtId="0" fontId="1" fillId="2" borderId="36" xfId="0" applyFont="1" applyFill="1" applyBorder="1" applyProtection="1">
      <protection locked="0"/>
    </xf>
    <xf numFmtId="0" fontId="1" fillId="2" borderId="39" xfId="0" applyFont="1" applyFill="1" applyBorder="1" applyProtection="1">
      <protection locked="0"/>
    </xf>
    <xf numFmtId="0" fontId="1" fillId="2" borderId="40" xfId="0" applyFont="1" applyFill="1" applyBorder="1" applyProtection="1">
      <protection locked="0"/>
    </xf>
    <xf numFmtId="0" fontId="1" fillId="2" borderId="41" xfId="0" applyFont="1" applyFill="1" applyBorder="1" applyProtection="1">
      <protection locked="0"/>
    </xf>
    <xf numFmtId="0" fontId="3" fillId="2" borderId="7" xfId="0" applyFont="1" applyFill="1" applyBorder="1" applyAlignment="1" applyProtection="1">
      <alignment horizontal="center" vertical="center" wrapText="1"/>
      <protection locked="0"/>
    </xf>
    <xf numFmtId="0" fontId="3" fillId="2" borderId="34" xfId="0" applyFont="1" applyFill="1" applyBorder="1" applyAlignment="1" applyProtection="1">
      <alignment horizontal="center" vertical="center" wrapText="1"/>
      <protection locked="0"/>
    </xf>
    <xf numFmtId="0" fontId="3" fillId="2" borderId="49" xfId="0" applyFont="1" applyFill="1" applyBorder="1" applyAlignment="1" applyProtection="1">
      <alignment horizontal="center" vertical="center" wrapText="1"/>
      <protection locked="0"/>
    </xf>
    <xf numFmtId="0" fontId="3" fillId="3" borderId="30" xfId="0" applyFont="1" applyFill="1" applyBorder="1" applyAlignment="1" applyProtection="1">
      <alignment horizontal="center" vertical="center" wrapText="1"/>
      <protection locked="0"/>
    </xf>
    <xf numFmtId="0" fontId="3" fillId="3" borderId="35" xfId="0" applyFont="1" applyFill="1" applyBorder="1" applyAlignment="1" applyProtection="1">
      <alignment horizontal="center" vertical="center" wrapText="1"/>
      <protection locked="0"/>
    </xf>
    <xf numFmtId="0" fontId="3" fillId="3" borderId="50" xfId="0" applyFont="1" applyFill="1" applyBorder="1" applyAlignment="1" applyProtection="1">
      <alignment horizontal="center" vertical="center" wrapText="1"/>
      <protection locked="0"/>
    </xf>
    <xf numFmtId="0" fontId="3" fillId="3" borderId="40" xfId="0" applyFont="1" applyFill="1" applyBorder="1" applyAlignment="1" applyProtection="1">
      <alignment horizontal="center" vertical="center" wrapText="1"/>
      <protection locked="0"/>
    </xf>
    <xf numFmtId="0" fontId="5" fillId="3" borderId="5" xfId="0" applyFont="1" applyFill="1" applyBorder="1" applyAlignment="1" applyProtection="1">
      <alignment horizontal="center" vertical="center" wrapText="1"/>
      <protection locked="0"/>
    </xf>
    <xf numFmtId="0" fontId="3" fillId="3" borderId="14" xfId="0" applyFont="1" applyFill="1" applyBorder="1" applyAlignment="1" applyProtection="1">
      <alignment horizontal="center" vertical="center" wrapText="1"/>
      <protection locked="0"/>
    </xf>
    <xf numFmtId="0" fontId="3" fillId="3" borderId="15" xfId="0" applyFont="1" applyFill="1" applyBorder="1" applyAlignment="1" applyProtection="1">
      <alignment horizontal="center" vertical="center" wrapText="1"/>
      <protection locked="0"/>
    </xf>
    <xf numFmtId="0" fontId="3" fillId="3" borderId="20" xfId="0" applyFont="1" applyFill="1" applyBorder="1" applyAlignment="1" applyProtection="1">
      <alignment horizontal="left" vertical="center" wrapText="1"/>
      <protection locked="0"/>
    </xf>
    <xf numFmtId="0" fontId="3" fillId="3" borderId="21" xfId="0" applyFont="1" applyFill="1" applyBorder="1" applyAlignment="1" applyProtection="1">
      <alignment horizontal="left" vertical="center" wrapText="1"/>
      <protection locked="0"/>
    </xf>
    <xf numFmtId="0" fontId="1" fillId="2" borderId="15" xfId="0" applyFont="1" applyFill="1" applyBorder="1" applyProtection="1">
      <protection locked="0"/>
    </xf>
    <xf numFmtId="0" fontId="22" fillId="4" borderId="28" xfId="0" applyFont="1" applyFill="1" applyBorder="1" applyAlignment="1">
      <alignment horizontal="center" vertical="center" textRotation="90" wrapText="1"/>
    </xf>
    <xf numFmtId="0" fontId="4" fillId="4" borderId="14" xfId="0" applyFont="1" applyFill="1" applyBorder="1" applyAlignment="1">
      <alignment horizontal="left" vertical="center"/>
    </xf>
    <xf numFmtId="0" fontId="34" fillId="2" borderId="35" xfId="0" applyFont="1" applyFill="1" applyBorder="1" applyAlignment="1" applyProtection="1">
      <alignment horizontal="left" vertical="center" wrapText="1"/>
      <protection locked="0"/>
    </xf>
    <xf numFmtId="0" fontId="33" fillId="2" borderId="35" xfId="0" applyFont="1" applyFill="1" applyBorder="1" applyAlignment="1" applyProtection="1">
      <alignment horizontal="center" vertical="center"/>
      <protection locked="0"/>
    </xf>
    <xf numFmtId="0" fontId="34" fillId="2" borderId="35" xfId="0" applyFont="1" applyFill="1" applyBorder="1" applyAlignment="1" applyProtection="1">
      <alignment horizontal="center" vertical="center" wrapText="1"/>
      <protection locked="0"/>
    </xf>
    <xf numFmtId="1" fontId="34" fillId="0" borderId="35" xfId="0" applyNumberFormat="1" applyFont="1" applyBorder="1" applyAlignment="1" applyProtection="1">
      <alignment horizontal="center" vertical="center" wrapText="1"/>
      <protection locked="0"/>
    </xf>
    <xf numFmtId="4" fontId="34" fillId="2" borderId="35" xfId="0" applyNumberFormat="1" applyFont="1" applyFill="1" applyBorder="1" applyAlignment="1" applyProtection="1">
      <alignment horizontal="center" vertical="center" wrapText="1"/>
      <protection locked="0"/>
    </xf>
    <xf numFmtId="0" fontId="4" fillId="2" borderId="44" xfId="0" applyFont="1" applyFill="1" applyBorder="1" applyAlignment="1" applyProtection="1">
      <alignment horizontal="left" vertical="center" wrapText="1"/>
      <protection locked="0"/>
    </xf>
    <xf numFmtId="0" fontId="3" fillId="2" borderId="9" xfId="0" applyFont="1" applyFill="1" applyBorder="1" applyAlignment="1" applyProtection="1">
      <alignment horizontal="center" vertical="center"/>
      <protection locked="0"/>
    </xf>
    <xf numFmtId="0" fontId="3" fillId="2" borderId="9" xfId="0" applyFont="1" applyFill="1" applyBorder="1" applyAlignment="1">
      <alignment horizontal="center" vertical="center"/>
    </xf>
    <xf numFmtId="4" fontId="35" fillId="2" borderId="35" xfId="0" applyNumberFormat="1" applyFont="1" applyFill="1" applyBorder="1" applyAlignment="1" applyProtection="1">
      <alignment horizontal="center" vertical="center" wrapText="1"/>
      <protection locked="0"/>
    </xf>
    <xf numFmtId="1" fontId="35" fillId="0" borderId="35" xfId="0" applyNumberFormat="1" applyFont="1" applyBorder="1" applyAlignment="1" applyProtection="1">
      <alignment horizontal="center" vertical="center" wrapText="1"/>
      <protection locked="0"/>
    </xf>
    <xf numFmtId="0" fontId="33" fillId="4" borderId="35" xfId="0" applyFont="1" applyFill="1" applyBorder="1" applyAlignment="1" applyProtection="1">
      <alignment textRotation="90"/>
      <protection locked="0"/>
    </xf>
    <xf numFmtId="0" fontId="37" fillId="2" borderId="35" xfId="0" applyFont="1" applyFill="1" applyBorder="1" applyProtection="1">
      <protection locked="0"/>
    </xf>
    <xf numFmtId="0" fontId="37" fillId="2" borderId="35" xfId="0" applyFont="1" applyFill="1" applyBorder="1" applyAlignment="1" applyProtection="1">
      <alignment horizontal="center" vertical="center"/>
      <protection locked="0"/>
    </xf>
    <xf numFmtId="2" fontId="35" fillId="0" borderId="35" xfId="0" applyNumberFormat="1" applyFont="1" applyBorder="1" applyAlignment="1" applyProtection="1">
      <alignment horizontal="center" vertical="center" wrapText="1"/>
      <protection locked="0"/>
    </xf>
    <xf numFmtId="0" fontId="3" fillId="2" borderId="7" xfId="0" applyFont="1" applyFill="1" applyBorder="1" applyAlignment="1" applyProtection="1">
      <alignment horizontal="left" vertical="center" wrapText="1"/>
      <protection locked="0"/>
    </xf>
    <xf numFmtId="0" fontId="4" fillId="2" borderId="29" xfId="0" applyFont="1" applyFill="1" applyBorder="1" applyAlignment="1" applyProtection="1">
      <alignment horizontal="center" vertical="center"/>
      <protection locked="0"/>
    </xf>
    <xf numFmtId="0" fontId="34" fillId="3" borderId="35" xfId="0" applyFont="1" applyFill="1" applyBorder="1" applyAlignment="1" applyProtection="1">
      <alignment horizontal="center" vertical="center" wrapText="1"/>
      <protection locked="0"/>
    </xf>
    <xf numFmtId="0" fontId="36" fillId="2" borderId="35" xfId="0" applyFont="1" applyFill="1" applyBorder="1" applyAlignment="1" applyProtection="1">
      <alignment horizontal="left" vertical="center" wrapText="1"/>
      <protection locked="0"/>
    </xf>
    <xf numFmtId="0" fontId="6" fillId="4" borderId="13" xfId="0" applyFont="1" applyFill="1" applyBorder="1" applyAlignment="1">
      <alignment horizontal="left" vertical="center"/>
    </xf>
    <xf numFmtId="0" fontId="3" fillId="2" borderId="54" xfId="0" applyFont="1" applyFill="1" applyBorder="1" applyAlignment="1" applyProtection="1">
      <alignment horizontal="center" vertical="center" wrapText="1"/>
      <protection locked="0"/>
    </xf>
    <xf numFmtId="0" fontId="4" fillId="0" borderId="22" xfId="0" applyFont="1" applyBorder="1" applyAlignment="1">
      <alignment horizontal="center" vertical="center"/>
    </xf>
    <xf numFmtId="0" fontId="36" fillId="2" borderId="50" xfId="0" applyFont="1" applyFill="1" applyBorder="1" applyAlignment="1" applyProtection="1">
      <alignment horizontal="left" vertical="center" wrapText="1"/>
      <protection locked="0"/>
    </xf>
    <xf numFmtId="0" fontId="36" fillId="2" borderId="39" xfId="0" applyFont="1" applyFill="1" applyBorder="1" applyAlignment="1" applyProtection="1">
      <alignment horizontal="left" vertical="center" wrapText="1"/>
      <protection locked="0"/>
    </xf>
    <xf numFmtId="0" fontId="36" fillId="2" borderId="40" xfId="0" applyFont="1" applyFill="1" applyBorder="1" applyAlignment="1" applyProtection="1">
      <alignment horizontal="left" vertical="center" wrapText="1"/>
      <protection locked="0"/>
    </xf>
    <xf numFmtId="0" fontId="36" fillId="2" borderId="49" xfId="0" applyFont="1" applyFill="1" applyBorder="1" applyAlignment="1" applyProtection="1">
      <alignment horizontal="left" vertical="center" wrapText="1"/>
      <protection locked="0"/>
    </xf>
    <xf numFmtId="0" fontId="36" fillId="2" borderId="51" xfId="0" applyFont="1" applyFill="1" applyBorder="1" applyAlignment="1" applyProtection="1">
      <alignment horizontal="left" vertical="center" wrapText="1"/>
      <protection locked="0"/>
    </xf>
    <xf numFmtId="0" fontId="36" fillId="2" borderId="29" xfId="0" applyFont="1" applyFill="1" applyBorder="1" applyAlignment="1" applyProtection="1">
      <alignment horizontal="left" vertical="center" wrapText="1"/>
      <protection locked="0"/>
    </xf>
    <xf numFmtId="0" fontId="36" fillId="2" borderId="42" xfId="0" applyFont="1" applyFill="1" applyBorder="1" applyAlignment="1" applyProtection="1">
      <alignment horizontal="left" vertical="center" wrapText="1"/>
      <protection locked="0"/>
    </xf>
    <xf numFmtId="0" fontId="1" fillId="0" borderId="16" xfId="0" applyFont="1" applyBorder="1"/>
    <xf numFmtId="0" fontId="1" fillId="0" borderId="2" xfId="0" applyFont="1" applyBorder="1"/>
    <xf numFmtId="0" fontId="1" fillId="0" borderId="2" xfId="0" applyFont="1" applyBorder="1" applyAlignment="1">
      <alignment horizontal="center" vertical="center"/>
    </xf>
    <xf numFmtId="0" fontId="16" fillId="2" borderId="19" xfId="0" applyFont="1" applyFill="1" applyBorder="1" applyAlignment="1">
      <alignment horizontal="centerContinuous" vertical="center" wrapText="1"/>
    </xf>
    <xf numFmtId="0" fontId="16" fillId="2" borderId="20" xfId="0" applyFont="1" applyFill="1" applyBorder="1" applyAlignment="1">
      <alignment horizontal="centerContinuous" vertical="center" wrapText="1"/>
    </xf>
    <xf numFmtId="0" fontId="9" fillId="2" borderId="20" xfId="0" applyFont="1" applyFill="1" applyBorder="1" applyAlignment="1">
      <alignment horizontal="centerContinuous" vertical="center" wrapText="1"/>
    </xf>
    <xf numFmtId="0" fontId="9" fillId="2" borderId="21" xfId="0" applyFont="1" applyFill="1" applyBorder="1" applyAlignment="1">
      <alignment horizontal="centerContinuous" vertical="center" wrapText="1"/>
    </xf>
    <xf numFmtId="0" fontId="21" fillId="2" borderId="29" xfId="0" applyFont="1" applyFill="1" applyBorder="1" applyAlignment="1">
      <alignment horizontal="center" textRotation="90" wrapText="1"/>
    </xf>
    <xf numFmtId="0" fontId="24" fillId="4" borderId="29" xfId="0" applyFont="1" applyFill="1" applyBorder="1" applyAlignment="1">
      <alignment horizontal="center" vertical="center" textRotation="90" wrapText="1"/>
    </xf>
    <xf numFmtId="0" fontId="24" fillId="2" borderId="57" xfId="0" applyFont="1" applyFill="1" applyBorder="1" applyAlignment="1">
      <alignment horizontal="center" textRotation="90" wrapText="1"/>
    </xf>
    <xf numFmtId="0" fontId="1" fillId="4" borderId="29" xfId="0" applyFont="1" applyFill="1" applyBorder="1" applyAlignment="1">
      <alignment horizontal="center"/>
    </xf>
    <xf numFmtId="0" fontId="1" fillId="0" borderId="44" xfId="0" applyFont="1" applyBorder="1"/>
    <xf numFmtId="0" fontId="35" fillId="2" borderId="36" xfId="0" applyFont="1" applyFill="1" applyBorder="1" applyAlignment="1" applyProtection="1">
      <alignment vertical="center" wrapText="1"/>
      <protection locked="0"/>
    </xf>
    <xf numFmtId="0" fontId="4" fillId="0" borderId="46" xfId="0" applyFont="1" applyBorder="1"/>
    <xf numFmtId="0" fontId="4" fillId="0" borderId="46" xfId="0" applyFont="1" applyBorder="1" applyAlignment="1">
      <alignment horizontal="center" vertical="center" textRotation="90"/>
    </xf>
    <xf numFmtId="0" fontId="4" fillId="0" borderId="46" xfId="0" applyFont="1" applyBorder="1" applyAlignment="1">
      <alignment horizontal="center" textRotation="90"/>
    </xf>
    <xf numFmtId="0" fontId="4" fillId="0" borderId="46" xfId="0" applyFont="1" applyBorder="1" applyAlignment="1">
      <alignment horizontal="center" vertical="top" textRotation="90"/>
    </xf>
    <xf numFmtId="0" fontId="3" fillId="0" borderId="46" xfId="0" applyFont="1" applyBorder="1" applyAlignment="1">
      <alignment horizontal="center" textRotation="90"/>
    </xf>
    <xf numFmtId="0" fontId="3" fillId="0" borderId="46" xfId="0" applyFont="1" applyBorder="1" applyAlignment="1">
      <alignment horizontal="center" vertical="top" textRotation="90"/>
    </xf>
    <xf numFmtId="0" fontId="3" fillId="0" borderId="46" xfId="0" applyFont="1" applyBorder="1" applyAlignment="1">
      <alignment horizontal="center" vertical="center" textRotation="90"/>
    </xf>
    <xf numFmtId="0" fontId="1" fillId="0" borderId="46" xfId="0" applyFont="1" applyBorder="1"/>
    <xf numFmtId="0" fontId="2" fillId="2" borderId="22" xfId="0" applyFont="1" applyFill="1" applyBorder="1" applyAlignment="1">
      <alignment horizontal="center" vertical="center" textRotation="90" wrapText="1"/>
    </xf>
    <xf numFmtId="0" fontId="2" fillId="2" borderId="56" xfId="0" applyFont="1" applyFill="1" applyBorder="1" applyAlignment="1">
      <alignment horizontal="center" textRotation="90" wrapText="1"/>
    </xf>
    <xf numFmtId="0" fontId="2" fillId="2" borderId="56" xfId="0" applyFont="1" applyFill="1" applyBorder="1" applyAlignment="1">
      <alignment horizontal="center" vertical="center" textRotation="90" wrapText="1"/>
    </xf>
    <xf numFmtId="0" fontId="2" fillId="2" borderId="56" xfId="0" applyFont="1" applyFill="1" applyBorder="1" applyAlignment="1">
      <alignment horizontal="center" vertical="center" textRotation="90"/>
    </xf>
    <xf numFmtId="0" fontId="3" fillId="2" borderId="59" xfId="0" applyFont="1" applyFill="1" applyBorder="1" applyAlignment="1" applyProtection="1">
      <alignment horizontal="center" vertical="center"/>
      <protection locked="0"/>
    </xf>
    <xf numFmtId="0" fontId="2" fillId="2" borderId="28" xfId="0" applyFont="1" applyFill="1" applyBorder="1" applyAlignment="1">
      <alignment horizontal="center" vertical="center" textRotation="90" wrapText="1"/>
    </xf>
    <xf numFmtId="0" fontId="12" fillId="3" borderId="13" xfId="0" applyFont="1" applyFill="1" applyBorder="1" applyAlignment="1">
      <alignment horizontal="centerContinuous" vertical="center" wrapText="1"/>
    </xf>
    <xf numFmtId="0" fontId="13" fillId="3" borderId="15" xfId="0" applyFont="1" applyFill="1" applyBorder="1" applyAlignment="1">
      <alignment horizontal="centerContinuous" vertical="center" wrapText="1"/>
    </xf>
    <xf numFmtId="0" fontId="3" fillId="2" borderId="60" xfId="0" applyFont="1" applyFill="1" applyBorder="1" applyAlignment="1">
      <alignment horizontal="left" vertical="center"/>
    </xf>
    <xf numFmtId="0" fontId="3" fillId="2" borderId="61" xfId="0" applyFont="1" applyFill="1" applyBorder="1" applyAlignment="1">
      <alignment horizontal="left" vertical="center"/>
    </xf>
    <xf numFmtId="0" fontId="1" fillId="2" borderId="44" xfId="0" applyFont="1" applyFill="1" applyBorder="1"/>
    <xf numFmtId="0" fontId="1" fillId="2" borderId="46" xfId="0" applyFont="1" applyFill="1" applyBorder="1"/>
    <xf numFmtId="0" fontId="1" fillId="2" borderId="13" xfId="0" applyFont="1" applyFill="1" applyBorder="1"/>
    <xf numFmtId="0" fontId="1" fillId="2" borderId="13" xfId="0" applyFont="1" applyFill="1" applyBorder="1" applyAlignment="1">
      <alignment horizontal="center" vertical="top"/>
    </xf>
    <xf numFmtId="0" fontId="1" fillId="2" borderId="19" xfId="0" applyFont="1" applyFill="1" applyBorder="1" applyAlignment="1">
      <alignment horizontal="center" vertical="center"/>
    </xf>
    <xf numFmtId="0" fontId="1" fillId="2" borderId="57" xfId="0" applyFont="1" applyFill="1" applyBorder="1" applyAlignment="1">
      <alignment horizontal="center" vertical="center"/>
    </xf>
    <xf numFmtId="0" fontId="1" fillId="0" borderId="54" xfId="0" applyFont="1" applyBorder="1"/>
    <xf numFmtId="0" fontId="3" fillId="2" borderId="31" xfId="0" applyFont="1" applyFill="1" applyBorder="1" applyAlignment="1" applyProtection="1">
      <alignment horizontal="center" vertical="center" wrapText="1"/>
      <protection locked="0"/>
    </xf>
    <xf numFmtId="0" fontId="1" fillId="0" borderId="63" xfId="0" applyFont="1" applyBorder="1"/>
    <xf numFmtId="0" fontId="1" fillId="0" borderId="63" xfId="0" applyFont="1" applyBorder="1" applyAlignment="1">
      <alignment horizontal="center" vertical="center"/>
    </xf>
    <xf numFmtId="0" fontId="34" fillId="2" borderId="36" xfId="0" applyFont="1" applyFill="1" applyBorder="1" applyAlignment="1" applyProtection="1">
      <alignment vertical="center" wrapText="1"/>
      <protection locked="0"/>
    </xf>
    <xf numFmtId="0" fontId="3" fillId="2" borderId="55" xfId="0" applyFont="1" applyFill="1" applyBorder="1" applyAlignment="1" applyProtection="1">
      <alignment vertical="center" wrapText="1"/>
      <protection locked="0"/>
    </xf>
    <xf numFmtId="0" fontId="2" fillId="2" borderId="11" xfId="0" applyFont="1" applyFill="1" applyBorder="1" applyAlignment="1">
      <alignment horizontal="center" vertical="center" textRotation="90" wrapText="1"/>
    </xf>
    <xf numFmtId="0" fontId="3" fillId="2" borderId="65" xfId="0" applyFont="1" applyFill="1" applyBorder="1" applyAlignment="1" applyProtection="1">
      <alignment horizontal="center" vertical="center" wrapText="1"/>
      <protection locked="0"/>
    </xf>
    <xf numFmtId="0" fontId="3" fillId="2" borderId="31" xfId="0" applyFont="1" applyFill="1" applyBorder="1" applyAlignment="1" applyProtection="1">
      <alignment vertical="center" wrapText="1"/>
      <protection locked="0"/>
    </xf>
    <xf numFmtId="0" fontId="3" fillId="2" borderId="36" xfId="0" applyFont="1" applyFill="1" applyBorder="1" applyAlignment="1" applyProtection="1">
      <alignment vertical="center" wrapText="1"/>
      <protection locked="0"/>
    </xf>
    <xf numFmtId="0" fontId="4" fillId="2" borderId="9" xfId="0" applyFont="1" applyFill="1" applyBorder="1" applyAlignment="1" applyProtection="1">
      <alignment horizontal="center"/>
      <protection locked="0"/>
    </xf>
    <xf numFmtId="0" fontId="39" fillId="2" borderId="9" xfId="0" applyFont="1" applyFill="1" applyBorder="1" applyAlignment="1">
      <alignment horizontal="left" vertical="center"/>
    </xf>
    <xf numFmtId="0" fontId="4" fillId="2" borderId="59" xfId="0" applyFont="1" applyFill="1" applyBorder="1" applyAlignment="1" applyProtection="1">
      <alignment horizontal="left"/>
      <protection locked="0"/>
    </xf>
    <xf numFmtId="0" fontId="39" fillId="2" borderId="9" xfId="0" applyFont="1" applyFill="1" applyBorder="1" applyAlignment="1">
      <alignment horizontal="center" vertical="center"/>
    </xf>
    <xf numFmtId="0" fontId="4" fillId="2" borderId="59" xfId="0" applyFont="1" applyFill="1" applyBorder="1" applyAlignment="1" applyProtection="1">
      <alignment horizontal="center"/>
      <protection locked="0"/>
    </xf>
    <xf numFmtId="0" fontId="4" fillId="2" borderId="9" xfId="0" applyFont="1" applyFill="1" applyBorder="1" applyAlignment="1" applyProtection="1">
      <alignment horizontal="center" vertical="center"/>
      <protection locked="0"/>
    </xf>
    <xf numFmtId="0" fontId="4" fillId="2" borderId="59" xfId="0" applyFont="1" applyFill="1" applyBorder="1" applyAlignment="1" applyProtection="1">
      <alignment horizontal="left" vertical="center"/>
      <protection locked="0"/>
    </xf>
    <xf numFmtId="43" fontId="3" fillId="2" borderId="7" xfId="2" applyFont="1" applyFill="1" applyBorder="1" applyAlignment="1" applyProtection="1">
      <alignment horizontal="center" vertical="center" wrapText="1"/>
      <protection locked="0"/>
    </xf>
    <xf numFmtId="0" fontId="3" fillId="2" borderId="7" xfId="0" quotePrefix="1" applyFont="1" applyFill="1" applyBorder="1" applyAlignment="1" applyProtection="1">
      <alignment horizontal="center" vertical="center" wrapText="1"/>
      <protection locked="0"/>
    </xf>
    <xf numFmtId="43" fontId="3" fillId="2" borderId="30" xfId="2" applyFont="1" applyFill="1" applyBorder="1" applyAlignment="1" applyProtection="1">
      <alignment horizontal="center" vertical="center" wrapText="1"/>
      <protection locked="0"/>
    </xf>
    <xf numFmtId="43" fontId="35" fillId="0" borderId="35" xfId="2" applyFont="1" applyBorder="1" applyAlignment="1" applyProtection="1">
      <alignment horizontal="center" vertical="center" wrapText="1"/>
      <protection locked="0"/>
    </xf>
    <xf numFmtId="0" fontId="22" fillId="4" borderId="29" xfId="0" applyFont="1" applyFill="1" applyBorder="1" applyAlignment="1">
      <alignment horizontal="center" vertical="center" textRotation="90" wrapText="1"/>
    </xf>
    <xf numFmtId="0" fontId="0" fillId="0" borderId="35" xfId="0" applyBorder="1" applyAlignment="1" applyProtection="1">
      <alignment horizontal="center"/>
      <protection locked="0"/>
    </xf>
    <xf numFmtId="0" fontId="0" fillId="4" borderId="35" xfId="0" applyFill="1" applyBorder="1" applyAlignment="1" applyProtection="1">
      <alignment horizontal="center"/>
      <protection locked="0"/>
    </xf>
    <xf numFmtId="0" fontId="1" fillId="2" borderId="6" xfId="0" applyFont="1" applyFill="1" applyBorder="1"/>
    <xf numFmtId="0" fontId="1" fillId="2" borderId="12" xfId="0" applyFont="1" applyFill="1" applyBorder="1"/>
    <xf numFmtId="0" fontId="1" fillId="2" borderId="15" xfId="0" applyFont="1" applyFill="1" applyBorder="1"/>
    <xf numFmtId="14" fontId="3" fillId="2" borderId="48" xfId="0" applyNumberFormat="1" applyFont="1" applyFill="1" applyBorder="1" applyAlignment="1" applyProtection="1">
      <alignment horizontal="center" vertical="center"/>
      <protection locked="0"/>
    </xf>
    <xf numFmtId="0" fontId="3" fillId="2" borderId="48" xfId="0" applyFont="1" applyFill="1" applyBorder="1" applyAlignment="1" applyProtection="1">
      <alignment horizontal="center" vertical="center"/>
      <protection locked="0"/>
    </xf>
    <xf numFmtId="0" fontId="3" fillId="2" borderId="58" xfId="0" applyFont="1" applyFill="1" applyBorder="1" applyAlignment="1" applyProtection="1">
      <alignment horizontal="center" vertical="center"/>
      <protection locked="0"/>
    </xf>
    <xf numFmtId="0" fontId="3" fillId="2" borderId="61" xfId="0" applyFont="1" applyFill="1" applyBorder="1" applyAlignment="1" applyProtection="1">
      <alignment horizontal="center" vertical="center"/>
      <protection locked="0"/>
    </xf>
    <xf numFmtId="0" fontId="3" fillId="2" borderId="62" xfId="0" applyFont="1" applyFill="1" applyBorder="1" applyAlignment="1" applyProtection="1">
      <alignment horizontal="center" vertical="center"/>
      <protection locked="0"/>
    </xf>
    <xf numFmtId="0" fontId="8" fillId="2" borderId="44" xfId="0" applyFont="1" applyFill="1" applyBorder="1" applyAlignment="1">
      <alignment horizontal="center" vertical="center" wrapText="1"/>
    </xf>
    <xf numFmtId="0" fontId="8" fillId="2" borderId="5" xfId="0" applyFont="1" applyFill="1" applyBorder="1" applyAlignment="1">
      <alignment horizontal="center" vertical="center" wrapText="1"/>
    </xf>
    <xf numFmtId="0" fontId="8" fillId="2" borderId="6" xfId="0" applyFont="1" applyFill="1" applyBorder="1" applyAlignment="1">
      <alignment horizontal="center" vertical="center" wrapText="1"/>
    </xf>
    <xf numFmtId="0" fontId="36" fillId="2" borderId="35" xfId="0" applyFont="1" applyFill="1" applyBorder="1" applyAlignment="1" applyProtection="1">
      <alignment horizontal="left" vertical="center" wrapText="1"/>
      <protection locked="0"/>
    </xf>
    <xf numFmtId="0" fontId="28" fillId="2" borderId="7" xfId="0" applyFont="1" applyFill="1" applyBorder="1" applyAlignment="1" applyProtection="1">
      <alignment textRotation="90" wrapText="1"/>
      <protection locked="0"/>
    </xf>
    <xf numFmtId="0" fontId="28" fillId="2" borderId="34" xfId="0" applyFont="1" applyFill="1" applyBorder="1" applyAlignment="1" applyProtection="1">
      <alignment textRotation="90" wrapText="1"/>
      <protection locked="0"/>
    </xf>
    <xf numFmtId="0" fontId="28" fillId="2" borderId="39" xfId="0" applyFont="1" applyFill="1" applyBorder="1" applyAlignment="1" applyProtection="1">
      <alignment textRotation="90" wrapText="1"/>
      <protection locked="0"/>
    </xf>
    <xf numFmtId="0" fontId="28" fillId="2" borderId="30" xfId="0" applyFont="1" applyFill="1" applyBorder="1" applyAlignment="1" applyProtection="1">
      <alignment textRotation="90" wrapText="1"/>
      <protection locked="0"/>
    </xf>
    <xf numFmtId="0" fontId="28" fillId="2" borderId="35" xfId="0" applyFont="1" applyFill="1" applyBorder="1" applyAlignment="1" applyProtection="1">
      <alignment textRotation="90" wrapText="1"/>
      <protection locked="0"/>
    </xf>
    <xf numFmtId="0" fontId="28" fillId="2" borderId="40" xfId="0" applyFont="1" applyFill="1" applyBorder="1" applyAlignment="1" applyProtection="1">
      <alignment textRotation="90" wrapText="1"/>
      <protection locked="0"/>
    </xf>
    <xf numFmtId="0" fontId="1" fillId="2" borderId="18" xfId="0" applyFont="1" applyFill="1" applyBorder="1"/>
    <xf numFmtId="0" fontId="1" fillId="2" borderId="3" xfId="0" applyFont="1" applyFill="1" applyBorder="1"/>
    <xf numFmtId="0" fontId="1" fillId="2" borderId="11" xfId="0" applyFont="1" applyFill="1" applyBorder="1"/>
    <xf numFmtId="0" fontId="14" fillId="3" borderId="44" xfId="0" applyFont="1" applyFill="1" applyBorder="1" applyAlignment="1">
      <alignment horizontal="center" vertical="center"/>
    </xf>
    <xf numFmtId="0" fontId="14" fillId="3" borderId="5" xfId="0" applyFont="1" applyFill="1" applyBorder="1" applyAlignment="1">
      <alignment horizontal="center" vertical="center"/>
    </xf>
    <xf numFmtId="0" fontId="14" fillId="3" borderId="6" xfId="0" applyFont="1" applyFill="1" applyBorder="1" applyAlignment="1">
      <alignment horizontal="center" vertical="center"/>
    </xf>
    <xf numFmtId="0" fontId="1" fillId="4" borderId="19" xfId="0" applyFont="1" applyFill="1" applyBorder="1" applyAlignment="1">
      <alignment horizontal="center" vertical="center"/>
    </xf>
    <xf numFmtId="0" fontId="1" fillId="4" borderId="21" xfId="0" applyFont="1" applyFill="1" applyBorder="1" applyAlignment="1">
      <alignment horizontal="center" vertical="center"/>
    </xf>
    <xf numFmtId="0" fontId="4" fillId="2" borderId="44" xfId="0" applyFont="1" applyFill="1" applyBorder="1" applyAlignment="1">
      <alignment horizontal="left" vertical="center" wrapText="1"/>
    </xf>
    <xf numFmtId="0" fontId="4" fillId="2" borderId="5" xfId="0" applyFont="1" applyFill="1" applyBorder="1" applyAlignment="1">
      <alignment horizontal="left" vertical="center" wrapText="1"/>
    </xf>
    <xf numFmtId="0" fontId="4" fillId="2" borderId="6" xfId="0" applyFont="1" applyFill="1" applyBorder="1" applyAlignment="1">
      <alignment horizontal="left" vertical="center" wrapText="1"/>
    </xf>
    <xf numFmtId="0" fontId="4" fillId="2" borderId="46" xfId="0" applyFont="1" applyFill="1" applyBorder="1" applyAlignment="1">
      <alignment horizontal="left" vertical="center" wrapText="1"/>
    </xf>
    <xf numFmtId="0" fontId="4" fillId="2" borderId="0" xfId="0" applyFont="1" applyFill="1" applyAlignment="1">
      <alignment horizontal="left" vertical="center" wrapText="1"/>
    </xf>
    <xf numFmtId="0" fontId="4" fillId="2" borderId="12" xfId="0" applyFont="1" applyFill="1" applyBorder="1" applyAlignment="1">
      <alignment horizontal="left" vertical="center" wrapText="1"/>
    </xf>
    <xf numFmtId="0" fontId="4" fillId="2" borderId="13" xfId="0" applyFont="1" applyFill="1" applyBorder="1" applyAlignment="1">
      <alignment horizontal="left" vertical="center" wrapText="1"/>
    </xf>
    <xf numFmtId="0" fontId="4" fillId="2" borderId="14" xfId="0" applyFont="1" applyFill="1" applyBorder="1" applyAlignment="1">
      <alignment horizontal="left" vertical="center" wrapText="1"/>
    </xf>
    <xf numFmtId="0" fontId="4" fillId="2" borderId="15" xfId="0" applyFont="1" applyFill="1" applyBorder="1" applyAlignment="1">
      <alignment horizontal="left" vertical="center" wrapText="1"/>
    </xf>
    <xf numFmtId="0" fontId="24" fillId="2" borderId="22" xfId="0" applyFont="1" applyFill="1" applyBorder="1" applyAlignment="1">
      <alignment horizontal="center" vertical="center" textRotation="90" wrapText="1"/>
    </xf>
    <xf numFmtId="0" fontId="24" fillId="2" borderId="56" xfId="0" applyFont="1" applyFill="1" applyBorder="1" applyAlignment="1">
      <alignment horizontal="center" vertical="center" textRotation="90" wrapText="1"/>
    </xf>
    <xf numFmtId="0" fontId="24" fillId="2" borderId="28" xfId="0" applyFont="1" applyFill="1" applyBorder="1" applyAlignment="1">
      <alignment horizontal="center" vertical="center" textRotation="90" wrapText="1"/>
    </xf>
    <xf numFmtId="0" fontId="33" fillId="4" borderId="30" xfId="0" applyFont="1" applyFill="1" applyBorder="1" applyAlignment="1" applyProtection="1">
      <alignment horizontal="center" textRotation="90"/>
      <protection locked="0"/>
    </xf>
    <xf numFmtId="0" fontId="33" fillId="4" borderId="35" xfId="0" applyFont="1" applyFill="1" applyBorder="1" applyAlignment="1" applyProtection="1">
      <alignment horizontal="center" textRotation="90"/>
      <protection locked="0"/>
    </xf>
    <xf numFmtId="0" fontId="6" fillId="4" borderId="13" xfId="0" applyFont="1" applyFill="1" applyBorder="1" applyAlignment="1">
      <alignment horizontal="left" vertical="center"/>
    </xf>
    <xf numFmtId="0" fontId="6" fillId="4" borderId="14" xfId="0" applyFont="1" applyFill="1" applyBorder="1" applyAlignment="1">
      <alignment horizontal="left" vertical="center"/>
    </xf>
    <xf numFmtId="0" fontId="6" fillId="4" borderId="19" xfId="0" applyFont="1" applyFill="1" applyBorder="1" applyAlignment="1">
      <alignment horizontal="left" vertical="center"/>
    </xf>
    <xf numFmtId="0" fontId="6" fillId="4" borderId="20" xfId="0" applyFont="1" applyFill="1" applyBorder="1" applyAlignment="1">
      <alignment horizontal="left" vertical="center"/>
    </xf>
    <xf numFmtId="0" fontId="18" fillId="4" borderId="19" xfId="0" applyFont="1" applyFill="1" applyBorder="1" applyAlignment="1">
      <alignment horizontal="left" vertical="center"/>
    </xf>
    <xf numFmtId="0" fontId="18" fillId="4" borderId="20" xfId="0" applyFont="1" applyFill="1" applyBorder="1" applyAlignment="1">
      <alignment horizontal="left" vertical="center"/>
    </xf>
    <xf numFmtId="0" fontId="10" fillId="4" borderId="19"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4" borderId="21" xfId="0" applyFont="1" applyFill="1" applyBorder="1" applyAlignment="1">
      <alignment horizontal="center" vertical="top" wrapText="1"/>
    </xf>
    <xf numFmtId="0" fontId="4" fillId="4" borderId="20" xfId="0" applyFont="1" applyFill="1" applyBorder="1" applyAlignment="1" applyProtection="1">
      <alignment horizontal="left" vertical="center"/>
      <protection locked="0"/>
    </xf>
    <xf numFmtId="0" fontId="4" fillId="4" borderId="21" xfId="0" applyFont="1" applyFill="1" applyBorder="1" applyAlignment="1" applyProtection="1">
      <alignment horizontal="left" vertical="center"/>
      <protection locked="0"/>
    </xf>
    <xf numFmtId="0" fontId="26" fillId="2" borderId="44" xfId="0" applyFont="1" applyFill="1" applyBorder="1" applyAlignment="1">
      <alignment horizontal="left" vertical="top" wrapText="1"/>
    </xf>
    <xf numFmtId="0" fontId="29" fillId="2" borderId="5" xfId="0" applyFont="1" applyFill="1" applyBorder="1" applyAlignment="1">
      <alignment horizontal="left" vertical="top" wrapText="1"/>
    </xf>
    <xf numFmtId="0" fontId="29" fillId="2" borderId="6" xfId="0" applyFont="1" applyFill="1" applyBorder="1" applyAlignment="1">
      <alignment horizontal="left" vertical="top" wrapText="1"/>
    </xf>
    <xf numFmtId="0" fontId="29" fillId="2" borderId="46" xfId="0" applyFont="1" applyFill="1" applyBorder="1" applyAlignment="1">
      <alignment horizontal="left" vertical="top" wrapText="1"/>
    </xf>
    <xf numFmtId="0" fontId="29" fillId="2" borderId="0" xfId="0" applyFont="1" applyFill="1" applyAlignment="1">
      <alignment horizontal="left" vertical="top" wrapText="1"/>
    </xf>
    <xf numFmtId="0" fontId="29" fillId="2" borderId="12" xfId="0" applyFont="1" applyFill="1" applyBorder="1" applyAlignment="1">
      <alignment horizontal="left" vertical="top" wrapText="1"/>
    </xf>
    <xf numFmtId="0" fontId="29" fillId="2" borderId="13" xfId="0" applyFont="1" applyFill="1" applyBorder="1" applyAlignment="1">
      <alignment horizontal="left" vertical="top" wrapText="1"/>
    </xf>
    <xf numFmtId="0" fontId="29" fillId="2" borderId="14" xfId="0" applyFont="1" applyFill="1" applyBorder="1" applyAlignment="1">
      <alignment horizontal="left" vertical="top" wrapText="1"/>
    </xf>
    <xf numFmtId="0" fontId="29" fillId="2" borderId="15" xfId="0" applyFont="1" applyFill="1" applyBorder="1" applyAlignment="1">
      <alignment horizontal="left" vertical="top" wrapText="1"/>
    </xf>
    <xf numFmtId="0" fontId="1" fillId="2" borderId="9" xfId="0" applyFont="1" applyFill="1" applyBorder="1" applyAlignment="1" applyProtection="1">
      <alignment horizontal="center"/>
      <protection locked="0"/>
    </xf>
    <xf numFmtId="0" fontId="1" fillId="2" borderId="59" xfId="0" applyFont="1" applyFill="1" applyBorder="1" applyAlignment="1" applyProtection="1">
      <alignment horizontal="center"/>
      <protection locked="0"/>
    </xf>
    <xf numFmtId="0" fontId="1" fillId="2" borderId="17" xfId="0" applyFont="1" applyFill="1" applyBorder="1"/>
    <xf numFmtId="0" fontId="1" fillId="2" borderId="4" xfId="0" applyFont="1" applyFill="1" applyBorder="1"/>
    <xf numFmtId="0" fontId="1" fillId="2" borderId="64" xfId="0" applyFont="1" applyFill="1" applyBorder="1"/>
    <xf numFmtId="0" fontId="24" fillId="2" borderId="18" xfId="0" applyFont="1" applyFill="1" applyBorder="1" applyAlignment="1">
      <alignment horizontal="center" vertical="center" textRotation="90" wrapText="1"/>
    </xf>
    <xf numFmtId="0" fontId="24" fillId="2" borderId="11" xfId="0" applyFont="1" applyFill="1" applyBorder="1" applyAlignment="1">
      <alignment horizontal="center" vertical="center" textRotation="90" wrapText="1"/>
    </xf>
    <xf numFmtId="0" fontId="24" fillId="2" borderId="3" xfId="0" applyFont="1" applyFill="1" applyBorder="1" applyAlignment="1">
      <alignment horizontal="center" vertical="center" textRotation="90" wrapText="1"/>
    </xf>
    <xf numFmtId="0" fontId="8" fillId="2" borderId="19" xfId="0" applyFont="1" applyFill="1" applyBorder="1" applyAlignment="1">
      <alignment horizontal="center" vertical="center" wrapText="1"/>
    </xf>
    <xf numFmtId="0" fontId="8" fillId="2" borderId="20" xfId="0" applyFont="1" applyFill="1" applyBorder="1" applyAlignment="1">
      <alignment horizontal="center" vertical="center" wrapText="1"/>
    </xf>
    <xf numFmtId="0" fontId="8" fillId="2" borderId="21" xfId="0" applyFont="1" applyFill="1" applyBorder="1" applyAlignment="1">
      <alignment horizontal="center" vertical="center" wrapText="1"/>
    </xf>
    <xf numFmtId="0" fontId="36" fillId="2" borderId="50" xfId="0" applyFont="1" applyFill="1" applyBorder="1" applyAlignment="1" applyProtection="1">
      <alignment horizontal="left" vertical="center" wrapText="1"/>
      <protection locked="0"/>
    </xf>
    <xf numFmtId="0" fontId="36" fillId="2" borderId="40" xfId="0" applyFont="1" applyFill="1" applyBorder="1" applyAlignment="1" applyProtection="1">
      <alignment horizontal="left" vertical="center" wrapText="1"/>
      <protection locked="0"/>
    </xf>
  </cellXfs>
  <cellStyles count="3">
    <cellStyle name="Comma" xfId="2" builtinId="3"/>
    <cellStyle name="Normal" xfId="0" builtinId="0"/>
    <cellStyle name="Normal 2" xfId="1" xr:uid="{00000000-0005-0000-0000-000001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AB$2" lockText="1" noThreeD="1"/>
</file>

<file path=xl/ctrlProps/ctrlProp3.xml><?xml version="1.0" encoding="utf-8"?>
<formControlPr xmlns="http://schemas.microsoft.com/office/spreadsheetml/2009/9/main" objectType="CheckBox" fmlaLink="$AB$4" lockText="1" noThreeD="1"/>
</file>

<file path=xl/ctrlProps/ctrlProp4.xml><?xml version="1.0" encoding="utf-8"?>
<formControlPr xmlns="http://schemas.microsoft.com/office/spreadsheetml/2009/9/main" objectType="CheckBox" checked="Checked" fmlaLink="$AB$3" lockText="1" noThreeD="1"/>
</file>

<file path=xl/ctrlProps/ctrlProp5.xml><?xml version="1.0" encoding="utf-8"?>
<formControlPr xmlns="http://schemas.microsoft.com/office/spreadsheetml/2009/9/main" objectType="CheckBox" fmlaLink="$AB$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AB$2" lockText="1" noThreeD="1"/>
</file>

<file path=xl/ctrlProps/ctrlProp8.xml><?xml version="1.0" encoding="utf-8"?>
<formControlPr xmlns="http://schemas.microsoft.com/office/spreadsheetml/2009/9/main" objectType="CheckBox" fmlaLink="$AB$4" lockText="1" noThreeD="1"/>
</file>

<file path=xl/ctrlProps/ctrlProp9.xml><?xml version="1.0" encoding="utf-8"?>
<formControlPr xmlns="http://schemas.microsoft.com/office/spreadsheetml/2009/9/main" objectType="CheckBox" checked="Checked" fmlaLink="$AB$3" lockText="1" noThreeD="1"/>
</file>

<file path=xl/ctrlProps/ctrlProp10.xml><?xml version="1.0" encoding="utf-8"?>
<formControlPr xmlns="http://schemas.microsoft.com/office/spreadsheetml/2009/9/main" objectType="CheckBox" fmlaLink="$AB$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AB$2" lockText="1" noThreeD="1"/>
</file>

<file path=xl/ctrlProps/ctrlProp13.xml><?xml version="1.0" encoding="utf-8"?>
<formControlPr xmlns="http://schemas.microsoft.com/office/spreadsheetml/2009/9/main" objectType="CheckBox" fmlaLink="$AB$4" lockText="1" noThreeD="1"/>
</file>

<file path=xl/ctrlProps/ctrlProp14.xml><?xml version="1.0" encoding="utf-8"?>
<formControlPr xmlns="http://schemas.microsoft.com/office/spreadsheetml/2009/9/main" objectType="CheckBox" checked="Checked" fmlaLink="$AB$3" lockText="1" noThreeD="1"/>
</file>

<file path=xl/ctrlProps/ctrlProp15.xml><?xml version="1.0" encoding="utf-8"?>
<formControlPr xmlns="http://schemas.microsoft.com/office/spreadsheetml/2009/9/main" objectType="CheckBox" fmlaLink="$AB$5"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CheckBox" fmlaLink="$AB$2" lockText="1" noThreeD="1"/>
</file>

<file path=xl/ctrlProps/ctrlProp18.xml><?xml version="1.0" encoding="utf-8"?>
<formControlPr xmlns="http://schemas.microsoft.com/office/spreadsheetml/2009/9/main" objectType="CheckBox" fmlaLink="$AB$4" lockText="1" noThreeD="1"/>
</file>

<file path=xl/ctrlProps/ctrlProp19.xml><?xml version="1.0" encoding="utf-8"?>
<formControlPr xmlns="http://schemas.microsoft.com/office/spreadsheetml/2009/9/main" objectType="CheckBox" checked="Checked" fmlaLink="$AB$3" lockText="1" noThreeD="1"/>
</file>

<file path=xl/ctrlProps/ctrlProp20.xml><?xml version="1.0" encoding="utf-8"?>
<formControlPr xmlns="http://schemas.microsoft.com/office/spreadsheetml/2009/9/main" objectType="CheckBox" fmlaLink="$AB$5"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AB$2" lockText="1" noThreeD="1"/>
</file>

<file path=xl/ctrlProps/ctrlProp23.xml><?xml version="1.0" encoding="utf-8"?>
<formControlPr xmlns="http://schemas.microsoft.com/office/spreadsheetml/2009/9/main" objectType="CheckBox" fmlaLink="$AB$4" lockText="1" noThreeD="1"/>
</file>

<file path=xl/ctrlProps/ctrlProp24.xml><?xml version="1.0" encoding="utf-8"?>
<formControlPr xmlns="http://schemas.microsoft.com/office/spreadsheetml/2009/9/main" objectType="CheckBox" checked="Checked" fmlaLink="$AB$3" lockText="1" noThreeD="1"/>
</file>

<file path=xl/ctrlProps/ctrlProp25.xml><?xml version="1.0" encoding="utf-8"?>
<formControlPr xmlns="http://schemas.microsoft.com/office/spreadsheetml/2009/9/main" objectType="CheckBox" fmlaLink="$AB$5"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fmlaLink="$AB$2" lockText="1" noThreeD="1"/>
</file>

<file path=xl/ctrlProps/ctrlProp28.xml><?xml version="1.0" encoding="utf-8"?>
<formControlPr xmlns="http://schemas.microsoft.com/office/spreadsheetml/2009/9/main" objectType="CheckBox" fmlaLink="$AB$4" lockText="1" noThreeD="1"/>
</file>

<file path=xl/ctrlProps/ctrlProp29.xml><?xml version="1.0" encoding="utf-8"?>
<formControlPr xmlns="http://schemas.microsoft.com/office/spreadsheetml/2009/9/main" objectType="CheckBox" checked="Checked" fmlaLink="$AB$3" lockText="1" noThreeD="1"/>
</file>

<file path=xl/ctrlProps/ctrlProp30.xml><?xml version="1.0" encoding="utf-8"?>
<formControlPr xmlns="http://schemas.microsoft.com/office/spreadsheetml/2009/9/main" objectType="CheckBox" fmlaLink="$AB$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AB$2" lockText="1" noThreeD="1"/>
</file>

<file path=xl/ctrlProps/ctrlProp33.xml><?xml version="1.0" encoding="utf-8"?>
<formControlPr xmlns="http://schemas.microsoft.com/office/spreadsheetml/2009/9/main" objectType="CheckBox" fmlaLink="$AB$4" lockText="1" noThreeD="1"/>
</file>

<file path=xl/ctrlProps/ctrlProp34.xml><?xml version="1.0" encoding="utf-8"?>
<formControlPr xmlns="http://schemas.microsoft.com/office/spreadsheetml/2009/9/main" objectType="CheckBox" checked="Checked" fmlaLink="$AB$3" lockText="1" noThreeD="1"/>
</file>

<file path=xl/ctrlProps/ctrlProp35.xml><?xml version="1.0" encoding="utf-8"?>
<formControlPr xmlns="http://schemas.microsoft.com/office/spreadsheetml/2009/9/main" objectType="CheckBox" fmlaLink="$AB$5"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AB$2" lockText="1" noThreeD="1"/>
</file>

<file path=xl/ctrlProps/ctrlProp38.xml><?xml version="1.0" encoding="utf-8"?>
<formControlPr xmlns="http://schemas.microsoft.com/office/spreadsheetml/2009/9/main" objectType="CheckBox" fmlaLink="$AB$4" lockText="1" noThreeD="1"/>
</file>

<file path=xl/ctrlProps/ctrlProp39.xml><?xml version="1.0" encoding="utf-8"?>
<formControlPr xmlns="http://schemas.microsoft.com/office/spreadsheetml/2009/9/main" objectType="CheckBox" checked="Checked" fmlaLink="$AB$3" lockText="1" noThreeD="1"/>
</file>

<file path=xl/ctrlProps/ctrlProp40.xml><?xml version="1.0" encoding="utf-8"?>
<formControlPr xmlns="http://schemas.microsoft.com/office/spreadsheetml/2009/9/main" objectType="CheckBox" fmlaLink="$AB$5"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AB$2" lockText="1" noThreeD="1"/>
</file>

<file path=xl/ctrlProps/ctrlProp43.xml><?xml version="1.0" encoding="utf-8"?>
<formControlPr xmlns="http://schemas.microsoft.com/office/spreadsheetml/2009/9/main" objectType="CheckBox" fmlaLink="$AB$4" lockText="1" noThreeD="1"/>
</file>

<file path=xl/ctrlProps/ctrlProp44.xml><?xml version="1.0" encoding="utf-8"?>
<formControlPr xmlns="http://schemas.microsoft.com/office/spreadsheetml/2009/9/main" objectType="CheckBox" checked="Checked" fmlaLink="$AB$3" lockText="1" noThreeD="1"/>
</file>

<file path=xl/ctrlProps/ctrlProp45.xml><?xml version="1.0" encoding="utf-8"?>
<formControlPr xmlns="http://schemas.microsoft.com/office/spreadsheetml/2009/9/main" objectType="CheckBox" fmlaLink="$AB$5" lockText="1" noThreeD="1"/>
</file>

<file path=xl/drawings/drawing1.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1025" name="Line 1">
          <a:extLst>
            <a:ext uri="{FF2B5EF4-FFF2-40B4-BE49-F238E27FC236}">
              <a16:creationId xmlns:a16="http://schemas.microsoft.com/office/drawing/2014/main" id="{00000000-0008-0000-0000-000001040000}"/>
            </a:ext>
          </a:extLst>
        </xdr:cNvPr>
        <xdr:cNvSpPr>
          <a:spLocks noChangeShapeType="1"/>
        </xdr:cNvSpPr>
      </xdr:nvSpPr>
      <xdr:spPr bwMode="auto">
        <a:xfrm flipV="1">
          <a:off x="1333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1026" name="Line 2">
          <a:extLst>
            <a:ext uri="{FF2B5EF4-FFF2-40B4-BE49-F238E27FC236}">
              <a16:creationId xmlns:a16="http://schemas.microsoft.com/office/drawing/2014/main" id="{00000000-0008-0000-0000-000002040000}"/>
            </a:ext>
          </a:extLst>
        </xdr:cNvPr>
        <xdr:cNvSpPr>
          <a:spLocks noChangeShapeType="1"/>
        </xdr:cNvSpPr>
      </xdr:nvSpPr>
      <xdr:spPr bwMode="auto">
        <a:xfrm>
          <a:off x="123825" y="0"/>
          <a:ext cx="9620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1027" name="Line 3">
          <a:extLst>
            <a:ext uri="{FF2B5EF4-FFF2-40B4-BE49-F238E27FC236}">
              <a16:creationId xmlns:a16="http://schemas.microsoft.com/office/drawing/2014/main" id="{00000000-0008-0000-0000-000003040000}"/>
            </a:ext>
          </a:extLst>
        </xdr:cNvPr>
        <xdr:cNvSpPr>
          <a:spLocks noChangeShapeType="1"/>
        </xdr:cNvSpPr>
      </xdr:nvSpPr>
      <xdr:spPr bwMode="auto">
        <a:xfrm>
          <a:off x="114300" y="0"/>
          <a:ext cx="97155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28" name="Line 4">
          <a:extLst>
            <a:ext uri="{FF2B5EF4-FFF2-40B4-BE49-F238E27FC236}">
              <a16:creationId xmlns:a16="http://schemas.microsoft.com/office/drawing/2014/main" id="{00000000-0008-0000-0000-000004040000}"/>
            </a:ext>
          </a:extLst>
        </xdr:cNvPr>
        <xdr:cNvSpPr>
          <a:spLocks noChangeShapeType="1"/>
        </xdr:cNvSpPr>
      </xdr:nvSpPr>
      <xdr:spPr bwMode="auto">
        <a:xfrm>
          <a:off x="108585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1029" name="Line 5">
          <a:extLst>
            <a:ext uri="{FF2B5EF4-FFF2-40B4-BE49-F238E27FC236}">
              <a16:creationId xmlns:a16="http://schemas.microsoft.com/office/drawing/2014/main" id="{00000000-0008-0000-0000-000005040000}"/>
            </a:ext>
          </a:extLst>
        </xdr:cNvPr>
        <xdr:cNvSpPr>
          <a:spLocks noChangeShapeType="1"/>
        </xdr:cNvSpPr>
      </xdr:nvSpPr>
      <xdr:spPr bwMode="auto">
        <a:xfrm flipH="1">
          <a:off x="9525" y="0"/>
          <a:ext cx="1143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30" name="Line 6">
          <a:extLst>
            <a:ext uri="{FF2B5EF4-FFF2-40B4-BE49-F238E27FC236}">
              <a16:creationId xmlns:a16="http://schemas.microsoft.com/office/drawing/2014/main" id="{00000000-0008-0000-0000-000006040000}"/>
            </a:ext>
          </a:extLst>
        </xdr:cNvPr>
        <xdr:cNvSpPr>
          <a:spLocks noChangeShapeType="1"/>
        </xdr:cNvSpPr>
      </xdr:nvSpPr>
      <xdr:spPr bwMode="auto">
        <a:xfrm flipH="1">
          <a:off x="108585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1031" name="Line 7">
          <a:extLst>
            <a:ext uri="{FF2B5EF4-FFF2-40B4-BE49-F238E27FC236}">
              <a16:creationId xmlns:a16="http://schemas.microsoft.com/office/drawing/2014/main" id="{00000000-0008-0000-0000-000007040000}"/>
            </a:ext>
          </a:extLst>
        </xdr:cNvPr>
        <xdr:cNvSpPr>
          <a:spLocks noChangeShapeType="1"/>
        </xdr:cNvSpPr>
      </xdr:nvSpPr>
      <xdr:spPr bwMode="auto">
        <a:xfrm flipV="1">
          <a:off x="108585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1032" name="Line 8">
          <a:extLst>
            <a:ext uri="{FF2B5EF4-FFF2-40B4-BE49-F238E27FC236}">
              <a16:creationId xmlns:a16="http://schemas.microsoft.com/office/drawing/2014/main" id="{00000000-0008-0000-0000-000008040000}"/>
            </a:ext>
          </a:extLst>
        </xdr:cNvPr>
        <xdr:cNvSpPr>
          <a:spLocks noChangeShapeType="1"/>
        </xdr:cNvSpPr>
      </xdr:nvSpPr>
      <xdr:spPr bwMode="auto">
        <a:xfrm>
          <a:off x="1143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33" name="Line 9">
          <a:extLst>
            <a:ext uri="{FF2B5EF4-FFF2-40B4-BE49-F238E27FC236}">
              <a16:creationId xmlns:a16="http://schemas.microsoft.com/office/drawing/2014/main" id="{00000000-0008-0000-0000-000009040000}"/>
            </a:ext>
          </a:extLst>
        </xdr:cNvPr>
        <xdr:cNvSpPr>
          <a:spLocks noChangeShapeType="1"/>
        </xdr:cNvSpPr>
      </xdr:nvSpPr>
      <xdr:spPr bwMode="auto">
        <a:xfrm flipV="1">
          <a:off x="1514475"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034" name="Line 10">
          <a:extLst>
            <a:ext uri="{FF2B5EF4-FFF2-40B4-BE49-F238E27FC236}">
              <a16:creationId xmlns:a16="http://schemas.microsoft.com/office/drawing/2014/main" id="{00000000-0008-0000-0000-00000A040000}"/>
            </a:ext>
          </a:extLst>
        </xdr:cNvPr>
        <xdr:cNvSpPr>
          <a:spLocks noChangeShapeType="1"/>
        </xdr:cNvSpPr>
      </xdr:nvSpPr>
      <xdr:spPr bwMode="auto">
        <a:xfrm>
          <a:off x="0" y="0"/>
          <a:ext cx="78676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035" name="Line 11">
          <a:extLst>
            <a:ext uri="{FF2B5EF4-FFF2-40B4-BE49-F238E27FC236}">
              <a16:creationId xmlns:a16="http://schemas.microsoft.com/office/drawing/2014/main" id="{00000000-0008-0000-0000-00000B040000}"/>
            </a:ext>
          </a:extLst>
        </xdr:cNvPr>
        <xdr:cNvSpPr>
          <a:spLocks noChangeShapeType="1"/>
        </xdr:cNvSpPr>
      </xdr:nvSpPr>
      <xdr:spPr bwMode="auto">
        <a:xfrm flipH="1">
          <a:off x="19050" y="0"/>
          <a:ext cx="97345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036" name="Line 12">
          <a:extLst>
            <a:ext uri="{FF2B5EF4-FFF2-40B4-BE49-F238E27FC236}">
              <a16:creationId xmlns:a16="http://schemas.microsoft.com/office/drawing/2014/main" id="{00000000-0008-0000-0000-00000C040000}"/>
            </a:ext>
          </a:extLst>
        </xdr:cNvPr>
        <xdr:cNvSpPr>
          <a:spLocks noChangeShapeType="1"/>
        </xdr:cNvSpPr>
      </xdr:nvSpPr>
      <xdr:spPr bwMode="auto">
        <a:xfrm>
          <a:off x="9525" y="0"/>
          <a:ext cx="107632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37" name="Line 13">
          <a:extLst>
            <a:ext uri="{FF2B5EF4-FFF2-40B4-BE49-F238E27FC236}">
              <a16:creationId xmlns:a16="http://schemas.microsoft.com/office/drawing/2014/main" id="{00000000-0008-0000-0000-00000D040000}"/>
            </a:ext>
          </a:extLst>
        </xdr:cNvPr>
        <xdr:cNvSpPr>
          <a:spLocks noChangeShapeType="1"/>
        </xdr:cNvSpPr>
      </xdr:nvSpPr>
      <xdr:spPr bwMode="auto">
        <a:xfrm flipH="1" flipV="1">
          <a:off x="1514475"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038" name="Line 14">
          <a:extLst>
            <a:ext uri="{FF2B5EF4-FFF2-40B4-BE49-F238E27FC236}">
              <a16:creationId xmlns:a16="http://schemas.microsoft.com/office/drawing/2014/main" id="{00000000-0008-0000-0000-00000E04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039" name="Line 15">
          <a:extLst>
            <a:ext uri="{FF2B5EF4-FFF2-40B4-BE49-F238E27FC236}">
              <a16:creationId xmlns:a16="http://schemas.microsoft.com/office/drawing/2014/main" id="{00000000-0008-0000-0000-00000F040000}"/>
            </a:ext>
          </a:extLst>
        </xdr:cNvPr>
        <xdr:cNvSpPr>
          <a:spLocks noChangeShapeType="1"/>
        </xdr:cNvSpPr>
      </xdr:nvSpPr>
      <xdr:spPr bwMode="auto">
        <a:xfrm>
          <a:off x="0" y="0"/>
          <a:ext cx="975360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040" name="Line 16">
          <a:extLst>
            <a:ext uri="{FF2B5EF4-FFF2-40B4-BE49-F238E27FC236}">
              <a16:creationId xmlns:a16="http://schemas.microsoft.com/office/drawing/2014/main" id="{00000000-0008-0000-0000-000010040000}"/>
            </a:ext>
          </a:extLst>
        </xdr:cNvPr>
        <xdr:cNvSpPr>
          <a:spLocks noChangeShapeType="1"/>
        </xdr:cNvSpPr>
      </xdr:nvSpPr>
      <xdr:spPr bwMode="auto">
        <a:xfrm flipH="1" flipV="1">
          <a:off x="97536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041" name="Line 17">
          <a:extLst>
            <a:ext uri="{FF2B5EF4-FFF2-40B4-BE49-F238E27FC236}">
              <a16:creationId xmlns:a16="http://schemas.microsoft.com/office/drawing/2014/main" id="{00000000-0008-0000-0000-000011040000}"/>
            </a:ext>
          </a:extLst>
        </xdr:cNvPr>
        <xdr:cNvSpPr>
          <a:spLocks noChangeShapeType="1"/>
        </xdr:cNvSpPr>
      </xdr:nvSpPr>
      <xdr:spPr bwMode="auto">
        <a:xfrm flipH="1" flipV="1">
          <a:off x="0" y="165100"/>
          <a:ext cx="1016000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042" name="Line 18">
          <a:extLst>
            <a:ext uri="{FF2B5EF4-FFF2-40B4-BE49-F238E27FC236}">
              <a16:creationId xmlns:a16="http://schemas.microsoft.com/office/drawing/2014/main" id="{00000000-0008-0000-0000-00001204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1043" name="Line 19">
          <a:extLst>
            <a:ext uri="{FF2B5EF4-FFF2-40B4-BE49-F238E27FC236}">
              <a16:creationId xmlns:a16="http://schemas.microsoft.com/office/drawing/2014/main" id="{00000000-0008-0000-0000-000013040000}"/>
            </a:ext>
          </a:extLst>
        </xdr:cNvPr>
        <xdr:cNvSpPr>
          <a:spLocks noChangeShapeType="1"/>
        </xdr:cNvSpPr>
      </xdr:nvSpPr>
      <xdr:spPr bwMode="auto">
        <a:xfrm>
          <a:off x="1104900" y="0"/>
          <a:ext cx="6867525"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1044" name="Line 20">
          <a:extLst>
            <a:ext uri="{FF2B5EF4-FFF2-40B4-BE49-F238E27FC236}">
              <a16:creationId xmlns:a16="http://schemas.microsoft.com/office/drawing/2014/main" id="{00000000-0008-0000-0000-000014040000}"/>
            </a:ext>
          </a:extLst>
        </xdr:cNvPr>
        <xdr:cNvSpPr>
          <a:spLocks noChangeShapeType="1"/>
        </xdr:cNvSpPr>
      </xdr:nvSpPr>
      <xdr:spPr bwMode="auto">
        <a:xfrm>
          <a:off x="904875" y="0"/>
          <a:ext cx="86391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1045" name="Line 21">
          <a:extLst>
            <a:ext uri="{FF2B5EF4-FFF2-40B4-BE49-F238E27FC236}">
              <a16:creationId xmlns:a16="http://schemas.microsoft.com/office/drawing/2014/main" id="{00000000-0008-0000-0000-000015040000}"/>
            </a:ext>
          </a:extLst>
        </xdr:cNvPr>
        <xdr:cNvSpPr>
          <a:spLocks noChangeShapeType="1"/>
        </xdr:cNvSpPr>
      </xdr:nvSpPr>
      <xdr:spPr bwMode="auto">
        <a:xfrm>
          <a:off x="19050" y="0"/>
          <a:ext cx="868680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1046" name="Line 22">
          <a:extLst>
            <a:ext uri="{FF2B5EF4-FFF2-40B4-BE49-F238E27FC236}">
              <a16:creationId xmlns:a16="http://schemas.microsoft.com/office/drawing/2014/main" id="{00000000-0008-0000-0000-000016040000}"/>
            </a:ext>
          </a:extLst>
        </xdr:cNvPr>
        <xdr:cNvSpPr>
          <a:spLocks noChangeShapeType="1"/>
        </xdr:cNvSpPr>
      </xdr:nvSpPr>
      <xdr:spPr bwMode="auto">
        <a:xfrm>
          <a:off x="1266825"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47" name="Line 23">
          <a:extLst>
            <a:ext uri="{FF2B5EF4-FFF2-40B4-BE49-F238E27FC236}">
              <a16:creationId xmlns:a16="http://schemas.microsoft.com/office/drawing/2014/main" id="{00000000-0008-0000-0000-000017040000}"/>
            </a:ext>
          </a:extLst>
        </xdr:cNvPr>
        <xdr:cNvSpPr>
          <a:spLocks noChangeShapeType="1"/>
        </xdr:cNvSpPr>
      </xdr:nvSpPr>
      <xdr:spPr bwMode="auto">
        <a:xfrm flipV="1">
          <a:off x="1514475"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1048" name="Line 24">
          <a:extLst>
            <a:ext uri="{FF2B5EF4-FFF2-40B4-BE49-F238E27FC236}">
              <a16:creationId xmlns:a16="http://schemas.microsoft.com/office/drawing/2014/main" id="{00000000-0008-0000-0000-000018040000}"/>
            </a:ext>
          </a:extLst>
        </xdr:cNvPr>
        <xdr:cNvSpPr>
          <a:spLocks noChangeShapeType="1"/>
        </xdr:cNvSpPr>
      </xdr:nvSpPr>
      <xdr:spPr bwMode="auto">
        <a:xfrm>
          <a:off x="108585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1049" name="Line 25">
          <a:extLst>
            <a:ext uri="{FF2B5EF4-FFF2-40B4-BE49-F238E27FC236}">
              <a16:creationId xmlns:a16="http://schemas.microsoft.com/office/drawing/2014/main" id="{00000000-0008-0000-0000-000019040000}"/>
            </a:ext>
          </a:extLst>
        </xdr:cNvPr>
        <xdr:cNvSpPr>
          <a:spLocks noChangeShapeType="1"/>
        </xdr:cNvSpPr>
      </xdr:nvSpPr>
      <xdr:spPr bwMode="auto">
        <a:xfrm>
          <a:off x="7943850"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1050" name="Line 26">
          <a:extLst>
            <a:ext uri="{FF2B5EF4-FFF2-40B4-BE49-F238E27FC236}">
              <a16:creationId xmlns:a16="http://schemas.microsoft.com/office/drawing/2014/main" id="{00000000-0008-0000-0000-00001A040000}"/>
            </a:ext>
          </a:extLst>
        </xdr:cNvPr>
        <xdr:cNvSpPr>
          <a:spLocks noChangeShapeType="1"/>
        </xdr:cNvSpPr>
      </xdr:nvSpPr>
      <xdr:spPr bwMode="auto">
        <a:xfrm>
          <a:off x="7772400" y="0"/>
          <a:ext cx="1781175"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1051" name="Line 27">
          <a:extLst>
            <a:ext uri="{FF2B5EF4-FFF2-40B4-BE49-F238E27FC236}">
              <a16:creationId xmlns:a16="http://schemas.microsoft.com/office/drawing/2014/main" id="{00000000-0008-0000-0000-00001B040000}"/>
            </a:ext>
          </a:extLst>
        </xdr:cNvPr>
        <xdr:cNvSpPr>
          <a:spLocks noChangeShapeType="1"/>
        </xdr:cNvSpPr>
      </xdr:nvSpPr>
      <xdr:spPr bwMode="auto">
        <a:xfrm>
          <a:off x="6734175" y="0"/>
          <a:ext cx="123825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52" name="Line 28">
          <a:extLst>
            <a:ext uri="{FF2B5EF4-FFF2-40B4-BE49-F238E27FC236}">
              <a16:creationId xmlns:a16="http://schemas.microsoft.com/office/drawing/2014/main" id="{00000000-0008-0000-0000-00001C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1053" name="Line 29">
          <a:extLst>
            <a:ext uri="{FF2B5EF4-FFF2-40B4-BE49-F238E27FC236}">
              <a16:creationId xmlns:a16="http://schemas.microsoft.com/office/drawing/2014/main" id="{00000000-0008-0000-0000-00001D040000}"/>
            </a:ext>
          </a:extLst>
        </xdr:cNvPr>
        <xdr:cNvSpPr>
          <a:spLocks noChangeShapeType="1"/>
        </xdr:cNvSpPr>
      </xdr:nvSpPr>
      <xdr:spPr bwMode="auto">
        <a:xfrm>
          <a:off x="6972300"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1054" name="Line 30">
          <a:extLst>
            <a:ext uri="{FF2B5EF4-FFF2-40B4-BE49-F238E27FC236}">
              <a16:creationId xmlns:a16="http://schemas.microsoft.com/office/drawing/2014/main" id="{00000000-0008-0000-0000-00001E040000}"/>
            </a:ext>
          </a:extLst>
        </xdr:cNvPr>
        <xdr:cNvSpPr>
          <a:spLocks noChangeShapeType="1"/>
        </xdr:cNvSpPr>
      </xdr:nvSpPr>
      <xdr:spPr bwMode="auto">
        <a:xfrm>
          <a:off x="8696325" y="0"/>
          <a:ext cx="10572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1055" name="Line 31">
          <a:extLst>
            <a:ext uri="{FF2B5EF4-FFF2-40B4-BE49-F238E27FC236}">
              <a16:creationId xmlns:a16="http://schemas.microsoft.com/office/drawing/2014/main" id="{00000000-0008-0000-0000-00001F040000}"/>
            </a:ext>
          </a:extLst>
        </xdr:cNvPr>
        <xdr:cNvSpPr>
          <a:spLocks noChangeShapeType="1"/>
        </xdr:cNvSpPr>
      </xdr:nvSpPr>
      <xdr:spPr bwMode="auto">
        <a:xfrm>
          <a:off x="7705725"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6" name="Line 32">
          <a:extLst>
            <a:ext uri="{FF2B5EF4-FFF2-40B4-BE49-F238E27FC236}">
              <a16:creationId xmlns:a16="http://schemas.microsoft.com/office/drawing/2014/main" id="{00000000-0008-0000-0000-000020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7" name="Line 33">
          <a:extLst>
            <a:ext uri="{FF2B5EF4-FFF2-40B4-BE49-F238E27FC236}">
              <a16:creationId xmlns:a16="http://schemas.microsoft.com/office/drawing/2014/main" id="{00000000-0008-0000-0000-000021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8" name="Line 34">
          <a:extLst>
            <a:ext uri="{FF2B5EF4-FFF2-40B4-BE49-F238E27FC236}">
              <a16:creationId xmlns:a16="http://schemas.microsoft.com/office/drawing/2014/main" id="{00000000-0008-0000-0000-000022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1059" name="Line 35">
          <a:extLst>
            <a:ext uri="{FF2B5EF4-FFF2-40B4-BE49-F238E27FC236}">
              <a16:creationId xmlns:a16="http://schemas.microsoft.com/office/drawing/2014/main" id="{00000000-0008-0000-0000-000023040000}"/>
            </a:ext>
          </a:extLst>
        </xdr:cNvPr>
        <xdr:cNvSpPr>
          <a:spLocks noChangeShapeType="1"/>
        </xdr:cNvSpPr>
      </xdr:nvSpPr>
      <xdr:spPr bwMode="auto">
        <a:xfrm>
          <a:off x="7705725" y="0"/>
          <a:ext cx="2047875"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1060" name="Line 36">
          <a:extLst>
            <a:ext uri="{FF2B5EF4-FFF2-40B4-BE49-F238E27FC236}">
              <a16:creationId xmlns:a16="http://schemas.microsoft.com/office/drawing/2014/main" id="{00000000-0008-0000-0000-000024040000}"/>
            </a:ext>
          </a:extLst>
        </xdr:cNvPr>
        <xdr:cNvSpPr>
          <a:spLocks noChangeShapeType="1"/>
        </xdr:cNvSpPr>
      </xdr:nvSpPr>
      <xdr:spPr bwMode="auto">
        <a:xfrm>
          <a:off x="7715250" y="0"/>
          <a:ext cx="2038350"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1061" name="Line 37">
          <a:extLst>
            <a:ext uri="{FF2B5EF4-FFF2-40B4-BE49-F238E27FC236}">
              <a16:creationId xmlns:a16="http://schemas.microsoft.com/office/drawing/2014/main" id="{00000000-0008-0000-0000-000025040000}"/>
            </a:ext>
          </a:extLst>
        </xdr:cNvPr>
        <xdr:cNvSpPr>
          <a:spLocks noChangeShapeType="1"/>
        </xdr:cNvSpPr>
      </xdr:nvSpPr>
      <xdr:spPr bwMode="auto">
        <a:xfrm>
          <a:off x="821055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1062" name="Line 38">
          <a:extLst>
            <a:ext uri="{FF2B5EF4-FFF2-40B4-BE49-F238E27FC236}">
              <a16:creationId xmlns:a16="http://schemas.microsoft.com/office/drawing/2014/main" id="{00000000-0008-0000-0000-000026040000}"/>
            </a:ext>
          </a:extLst>
        </xdr:cNvPr>
        <xdr:cNvSpPr>
          <a:spLocks noChangeShapeType="1"/>
        </xdr:cNvSpPr>
      </xdr:nvSpPr>
      <xdr:spPr bwMode="auto">
        <a:xfrm flipH="1">
          <a:off x="9096375"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1063" name="Line 39">
          <a:extLst>
            <a:ext uri="{FF2B5EF4-FFF2-40B4-BE49-F238E27FC236}">
              <a16:creationId xmlns:a16="http://schemas.microsoft.com/office/drawing/2014/main" id="{00000000-0008-0000-0000-000027040000}"/>
            </a:ext>
          </a:extLst>
        </xdr:cNvPr>
        <xdr:cNvSpPr>
          <a:spLocks noChangeShapeType="1"/>
        </xdr:cNvSpPr>
      </xdr:nvSpPr>
      <xdr:spPr bwMode="auto">
        <a:xfrm flipV="1">
          <a:off x="909637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1064" name="Line 40">
          <a:extLst>
            <a:ext uri="{FF2B5EF4-FFF2-40B4-BE49-F238E27FC236}">
              <a16:creationId xmlns:a16="http://schemas.microsoft.com/office/drawing/2014/main" id="{00000000-0008-0000-0000-000028040000}"/>
            </a:ext>
          </a:extLst>
        </xdr:cNvPr>
        <xdr:cNvSpPr>
          <a:spLocks noChangeShapeType="1"/>
        </xdr:cNvSpPr>
      </xdr:nvSpPr>
      <xdr:spPr bwMode="auto">
        <a:xfrm>
          <a:off x="9096375"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1065" name="Line 41">
          <a:extLst>
            <a:ext uri="{FF2B5EF4-FFF2-40B4-BE49-F238E27FC236}">
              <a16:creationId xmlns:a16="http://schemas.microsoft.com/office/drawing/2014/main" id="{00000000-0008-0000-0000-000029040000}"/>
            </a:ext>
          </a:extLst>
        </xdr:cNvPr>
        <xdr:cNvSpPr>
          <a:spLocks noChangeShapeType="1"/>
        </xdr:cNvSpPr>
      </xdr:nvSpPr>
      <xdr:spPr bwMode="auto">
        <a:xfrm>
          <a:off x="8677275"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1066" name="Line 42">
          <a:extLst>
            <a:ext uri="{FF2B5EF4-FFF2-40B4-BE49-F238E27FC236}">
              <a16:creationId xmlns:a16="http://schemas.microsoft.com/office/drawing/2014/main" id="{00000000-0008-0000-0000-00002A040000}"/>
            </a:ext>
          </a:extLst>
        </xdr:cNvPr>
        <xdr:cNvSpPr>
          <a:spLocks noChangeShapeType="1"/>
        </xdr:cNvSpPr>
      </xdr:nvSpPr>
      <xdr:spPr bwMode="auto">
        <a:xfrm>
          <a:off x="9544050"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1067" name="Line 43">
          <a:extLst>
            <a:ext uri="{FF2B5EF4-FFF2-40B4-BE49-F238E27FC236}">
              <a16:creationId xmlns:a16="http://schemas.microsoft.com/office/drawing/2014/main" id="{00000000-0008-0000-0000-00002B040000}"/>
            </a:ext>
          </a:extLst>
        </xdr:cNvPr>
        <xdr:cNvSpPr>
          <a:spLocks noChangeShapeType="1"/>
        </xdr:cNvSpPr>
      </xdr:nvSpPr>
      <xdr:spPr bwMode="auto">
        <a:xfrm>
          <a:off x="5286375" y="0"/>
          <a:ext cx="1905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68" name="Line 44">
          <a:extLst>
            <a:ext uri="{FF2B5EF4-FFF2-40B4-BE49-F238E27FC236}">
              <a16:creationId xmlns:a16="http://schemas.microsoft.com/office/drawing/2014/main" id="{00000000-0008-0000-0000-00002C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1069" name="Line 45">
          <a:extLst>
            <a:ext uri="{FF2B5EF4-FFF2-40B4-BE49-F238E27FC236}">
              <a16:creationId xmlns:a16="http://schemas.microsoft.com/office/drawing/2014/main" id="{00000000-0008-0000-0000-00002D040000}"/>
            </a:ext>
          </a:extLst>
        </xdr:cNvPr>
        <xdr:cNvSpPr>
          <a:spLocks noChangeShapeType="1"/>
        </xdr:cNvSpPr>
      </xdr:nvSpPr>
      <xdr:spPr bwMode="auto">
        <a:xfrm>
          <a:off x="6467475" y="0"/>
          <a:ext cx="24765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1070" name="Line 46">
          <a:extLst>
            <a:ext uri="{FF2B5EF4-FFF2-40B4-BE49-F238E27FC236}">
              <a16:creationId xmlns:a16="http://schemas.microsoft.com/office/drawing/2014/main" id="{00000000-0008-0000-0000-00002E040000}"/>
            </a:ext>
          </a:extLst>
        </xdr:cNvPr>
        <xdr:cNvSpPr>
          <a:spLocks noChangeShapeType="1"/>
        </xdr:cNvSpPr>
      </xdr:nvSpPr>
      <xdr:spPr bwMode="auto">
        <a:xfrm>
          <a:off x="5286375" y="0"/>
          <a:ext cx="1276350"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6496050" y="0"/>
          <a:ext cx="85725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1072" name="Line 48">
          <a:extLst>
            <a:ext uri="{FF2B5EF4-FFF2-40B4-BE49-F238E27FC236}">
              <a16:creationId xmlns:a16="http://schemas.microsoft.com/office/drawing/2014/main" id="{00000000-0008-0000-0000-000030040000}"/>
            </a:ext>
          </a:extLst>
        </xdr:cNvPr>
        <xdr:cNvSpPr>
          <a:spLocks noChangeShapeType="1"/>
        </xdr:cNvSpPr>
      </xdr:nvSpPr>
      <xdr:spPr bwMode="auto">
        <a:xfrm>
          <a:off x="36195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1074" name="Line 50">
          <a:extLst>
            <a:ext uri="{FF2B5EF4-FFF2-40B4-BE49-F238E27FC236}">
              <a16:creationId xmlns:a16="http://schemas.microsoft.com/office/drawing/2014/main" id="{00000000-0008-0000-0000-000032040000}"/>
            </a:ext>
          </a:extLst>
        </xdr:cNvPr>
        <xdr:cNvSpPr>
          <a:spLocks noChangeShapeType="1"/>
        </xdr:cNvSpPr>
      </xdr:nvSpPr>
      <xdr:spPr bwMode="auto">
        <a:xfrm>
          <a:off x="1266825"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1075" name="Line 51">
          <a:extLst>
            <a:ext uri="{FF2B5EF4-FFF2-40B4-BE49-F238E27FC236}">
              <a16:creationId xmlns:a16="http://schemas.microsoft.com/office/drawing/2014/main" id="{00000000-0008-0000-0000-000033040000}"/>
            </a:ext>
          </a:extLst>
        </xdr:cNvPr>
        <xdr:cNvSpPr>
          <a:spLocks noChangeShapeType="1"/>
        </xdr:cNvSpPr>
      </xdr:nvSpPr>
      <xdr:spPr bwMode="auto">
        <a:xfrm>
          <a:off x="1514475" y="0"/>
          <a:ext cx="495300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1076" name="Line 52">
          <a:extLst>
            <a:ext uri="{FF2B5EF4-FFF2-40B4-BE49-F238E27FC236}">
              <a16:creationId xmlns:a16="http://schemas.microsoft.com/office/drawing/2014/main" id="{00000000-0008-0000-0000-000034040000}"/>
            </a:ext>
          </a:extLst>
        </xdr:cNvPr>
        <xdr:cNvSpPr>
          <a:spLocks noChangeShapeType="1"/>
        </xdr:cNvSpPr>
      </xdr:nvSpPr>
      <xdr:spPr bwMode="auto">
        <a:xfrm flipH="1">
          <a:off x="4152900"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1077" name="Line 53">
          <a:extLst>
            <a:ext uri="{FF2B5EF4-FFF2-40B4-BE49-F238E27FC236}">
              <a16:creationId xmlns:a16="http://schemas.microsoft.com/office/drawing/2014/main" id="{00000000-0008-0000-0000-000035040000}"/>
            </a:ext>
          </a:extLst>
        </xdr:cNvPr>
        <xdr:cNvSpPr>
          <a:spLocks noChangeShapeType="1"/>
        </xdr:cNvSpPr>
      </xdr:nvSpPr>
      <xdr:spPr bwMode="auto">
        <a:xfrm>
          <a:off x="5305425"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1078" name="Line 54">
          <a:extLst>
            <a:ext uri="{FF2B5EF4-FFF2-40B4-BE49-F238E27FC236}">
              <a16:creationId xmlns:a16="http://schemas.microsoft.com/office/drawing/2014/main" id="{00000000-0008-0000-0000-000036040000}"/>
            </a:ext>
          </a:extLst>
        </xdr:cNvPr>
        <xdr:cNvSpPr>
          <a:spLocks noChangeShapeType="1"/>
        </xdr:cNvSpPr>
      </xdr:nvSpPr>
      <xdr:spPr bwMode="auto">
        <a:xfrm>
          <a:off x="4171950" y="0"/>
          <a:ext cx="113347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1079" name="Line 55">
          <a:extLst>
            <a:ext uri="{FF2B5EF4-FFF2-40B4-BE49-F238E27FC236}">
              <a16:creationId xmlns:a16="http://schemas.microsoft.com/office/drawing/2014/main" id="{00000000-0008-0000-0000-000037040000}"/>
            </a:ext>
          </a:extLst>
        </xdr:cNvPr>
        <xdr:cNvSpPr>
          <a:spLocks noChangeShapeType="1"/>
        </xdr:cNvSpPr>
      </xdr:nvSpPr>
      <xdr:spPr bwMode="auto">
        <a:xfrm>
          <a:off x="47244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1080" name="Line 56">
          <a:extLst>
            <a:ext uri="{FF2B5EF4-FFF2-40B4-BE49-F238E27FC236}">
              <a16:creationId xmlns:a16="http://schemas.microsoft.com/office/drawing/2014/main" id="{00000000-0008-0000-0000-000038040000}"/>
            </a:ext>
          </a:extLst>
        </xdr:cNvPr>
        <xdr:cNvSpPr>
          <a:spLocks noChangeShapeType="1"/>
        </xdr:cNvSpPr>
      </xdr:nvSpPr>
      <xdr:spPr bwMode="auto">
        <a:xfrm>
          <a:off x="588645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1081" name="Line 57">
          <a:extLst>
            <a:ext uri="{FF2B5EF4-FFF2-40B4-BE49-F238E27FC236}">
              <a16:creationId xmlns:a16="http://schemas.microsoft.com/office/drawing/2014/main" id="{00000000-0008-0000-0000-000039040000}"/>
            </a:ext>
          </a:extLst>
        </xdr:cNvPr>
        <xdr:cNvSpPr>
          <a:spLocks noChangeShapeType="1"/>
        </xdr:cNvSpPr>
      </xdr:nvSpPr>
      <xdr:spPr bwMode="auto">
        <a:xfrm>
          <a:off x="6715125"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1082" name="Line 58">
          <a:extLst>
            <a:ext uri="{FF2B5EF4-FFF2-40B4-BE49-F238E27FC236}">
              <a16:creationId xmlns:a16="http://schemas.microsoft.com/office/drawing/2014/main" id="{00000000-0008-0000-0000-00003A040000}"/>
            </a:ext>
          </a:extLst>
        </xdr:cNvPr>
        <xdr:cNvSpPr>
          <a:spLocks noChangeShapeType="1"/>
        </xdr:cNvSpPr>
      </xdr:nvSpPr>
      <xdr:spPr bwMode="auto">
        <a:xfrm>
          <a:off x="7210425"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1083" name="Line 59">
          <a:extLst>
            <a:ext uri="{FF2B5EF4-FFF2-40B4-BE49-F238E27FC236}">
              <a16:creationId xmlns:a16="http://schemas.microsoft.com/office/drawing/2014/main" id="{00000000-0008-0000-0000-00003B040000}"/>
            </a:ext>
          </a:extLst>
        </xdr:cNvPr>
        <xdr:cNvSpPr>
          <a:spLocks noChangeShapeType="1"/>
        </xdr:cNvSpPr>
      </xdr:nvSpPr>
      <xdr:spPr bwMode="auto">
        <a:xfrm>
          <a:off x="7458075"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1084" name="Line 60">
          <a:extLst>
            <a:ext uri="{FF2B5EF4-FFF2-40B4-BE49-F238E27FC236}">
              <a16:creationId xmlns:a16="http://schemas.microsoft.com/office/drawing/2014/main" id="{00000000-0008-0000-0000-00003C040000}"/>
            </a:ext>
          </a:extLst>
        </xdr:cNvPr>
        <xdr:cNvSpPr>
          <a:spLocks noChangeShapeType="1"/>
        </xdr:cNvSpPr>
      </xdr:nvSpPr>
      <xdr:spPr bwMode="auto">
        <a:xfrm>
          <a:off x="32289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85" name="Line 61">
          <a:extLst>
            <a:ext uri="{FF2B5EF4-FFF2-40B4-BE49-F238E27FC236}">
              <a16:creationId xmlns:a16="http://schemas.microsoft.com/office/drawing/2014/main" id="{00000000-0008-0000-0000-00003D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1086" name="Line 62">
          <a:extLst>
            <a:ext uri="{FF2B5EF4-FFF2-40B4-BE49-F238E27FC236}">
              <a16:creationId xmlns:a16="http://schemas.microsoft.com/office/drawing/2014/main" id="{00000000-0008-0000-0000-00003E040000}"/>
            </a:ext>
          </a:extLst>
        </xdr:cNvPr>
        <xdr:cNvSpPr>
          <a:spLocks noChangeShapeType="1"/>
        </xdr:cNvSpPr>
      </xdr:nvSpPr>
      <xdr:spPr bwMode="auto">
        <a:xfrm>
          <a:off x="6705600"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1087" name="Line 63">
          <a:extLst>
            <a:ext uri="{FF2B5EF4-FFF2-40B4-BE49-F238E27FC236}">
              <a16:creationId xmlns:a16="http://schemas.microsoft.com/office/drawing/2014/main" id="{00000000-0008-0000-0000-00003F040000}"/>
            </a:ext>
          </a:extLst>
        </xdr:cNvPr>
        <xdr:cNvSpPr>
          <a:spLocks noChangeShapeType="1"/>
        </xdr:cNvSpPr>
      </xdr:nvSpPr>
      <xdr:spPr bwMode="auto">
        <a:xfrm>
          <a:off x="8201025"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1088" name="Line 64">
          <a:extLst>
            <a:ext uri="{FF2B5EF4-FFF2-40B4-BE49-F238E27FC236}">
              <a16:creationId xmlns:a16="http://schemas.microsoft.com/office/drawing/2014/main" id="{00000000-0008-0000-0000-000040040000}"/>
            </a:ext>
          </a:extLst>
        </xdr:cNvPr>
        <xdr:cNvSpPr>
          <a:spLocks noChangeShapeType="1"/>
        </xdr:cNvSpPr>
      </xdr:nvSpPr>
      <xdr:spPr bwMode="auto">
        <a:xfrm>
          <a:off x="7210425"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1089" name="Line 65">
          <a:extLst>
            <a:ext uri="{FF2B5EF4-FFF2-40B4-BE49-F238E27FC236}">
              <a16:creationId xmlns:a16="http://schemas.microsoft.com/office/drawing/2014/main" id="{00000000-0008-0000-0000-000041040000}"/>
            </a:ext>
          </a:extLst>
        </xdr:cNvPr>
        <xdr:cNvSpPr>
          <a:spLocks noChangeShapeType="1"/>
        </xdr:cNvSpPr>
      </xdr:nvSpPr>
      <xdr:spPr bwMode="auto">
        <a:xfrm>
          <a:off x="7458075"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1090" name="Line 66">
          <a:extLst>
            <a:ext uri="{FF2B5EF4-FFF2-40B4-BE49-F238E27FC236}">
              <a16:creationId xmlns:a16="http://schemas.microsoft.com/office/drawing/2014/main" id="{00000000-0008-0000-0000-000042040000}"/>
            </a:ext>
          </a:extLst>
        </xdr:cNvPr>
        <xdr:cNvSpPr>
          <a:spLocks noChangeShapeType="1"/>
        </xdr:cNvSpPr>
      </xdr:nvSpPr>
      <xdr:spPr bwMode="auto">
        <a:xfrm>
          <a:off x="770572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91" name="Line 67">
          <a:extLst>
            <a:ext uri="{FF2B5EF4-FFF2-40B4-BE49-F238E27FC236}">
              <a16:creationId xmlns:a16="http://schemas.microsoft.com/office/drawing/2014/main" id="{00000000-0008-0000-0000-000043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1092" name="Line 68">
          <a:extLst>
            <a:ext uri="{FF2B5EF4-FFF2-40B4-BE49-F238E27FC236}">
              <a16:creationId xmlns:a16="http://schemas.microsoft.com/office/drawing/2014/main" id="{00000000-0008-0000-0000-000044040000}"/>
            </a:ext>
          </a:extLst>
        </xdr:cNvPr>
        <xdr:cNvSpPr>
          <a:spLocks noChangeShapeType="1"/>
        </xdr:cNvSpPr>
      </xdr:nvSpPr>
      <xdr:spPr bwMode="auto">
        <a:xfrm>
          <a:off x="6467475"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1093" name="Line 69">
          <a:extLst>
            <a:ext uri="{FF2B5EF4-FFF2-40B4-BE49-F238E27FC236}">
              <a16:creationId xmlns:a16="http://schemas.microsoft.com/office/drawing/2014/main" id="{00000000-0008-0000-0000-000045040000}"/>
            </a:ext>
          </a:extLst>
        </xdr:cNvPr>
        <xdr:cNvSpPr>
          <a:spLocks noChangeShapeType="1"/>
        </xdr:cNvSpPr>
      </xdr:nvSpPr>
      <xdr:spPr bwMode="auto">
        <a:xfrm flipV="1">
          <a:off x="104775" y="581025"/>
          <a:ext cx="28575" cy="285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1094" name="Line 70">
          <a:extLst>
            <a:ext uri="{FF2B5EF4-FFF2-40B4-BE49-F238E27FC236}">
              <a16:creationId xmlns:a16="http://schemas.microsoft.com/office/drawing/2014/main" id="{00000000-0008-0000-0000-000046040000}"/>
            </a:ext>
          </a:extLst>
        </xdr:cNvPr>
        <xdr:cNvSpPr>
          <a:spLocks noChangeShapeType="1"/>
        </xdr:cNvSpPr>
      </xdr:nvSpPr>
      <xdr:spPr bwMode="auto">
        <a:xfrm>
          <a:off x="123825" y="1704975"/>
          <a:ext cx="96202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1095" name="Line 71">
          <a:extLst>
            <a:ext uri="{FF2B5EF4-FFF2-40B4-BE49-F238E27FC236}">
              <a16:creationId xmlns:a16="http://schemas.microsoft.com/office/drawing/2014/main" id="{00000000-0008-0000-0000-000047040000}"/>
            </a:ext>
          </a:extLst>
        </xdr:cNvPr>
        <xdr:cNvSpPr>
          <a:spLocks noChangeShapeType="1"/>
        </xdr:cNvSpPr>
      </xdr:nvSpPr>
      <xdr:spPr bwMode="auto">
        <a:xfrm>
          <a:off x="114300" y="1704975"/>
          <a:ext cx="97155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1096" name="Line 72">
          <a:extLst>
            <a:ext uri="{FF2B5EF4-FFF2-40B4-BE49-F238E27FC236}">
              <a16:creationId xmlns:a16="http://schemas.microsoft.com/office/drawing/2014/main" id="{00000000-0008-0000-0000-000048040000}"/>
            </a:ext>
          </a:extLst>
        </xdr:cNvPr>
        <xdr:cNvSpPr>
          <a:spLocks noChangeShapeType="1"/>
        </xdr:cNvSpPr>
      </xdr:nvSpPr>
      <xdr:spPr bwMode="auto">
        <a:xfrm flipH="1">
          <a:off x="9525" y="1704975"/>
          <a:ext cx="1143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6</xdr:col>
      <xdr:colOff>0</xdr:colOff>
      <xdr:row>6</xdr:row>
      <xdr:rowOff>0</xdr:rowOff>
    </xdr:to>
    <xdr:sp macro="" textlink="">
      <xdr:nvSpPr>
        <xdr:cNvPr id="1098" name="Line 74">
          <a:extLst>
            <a:ext uri="{FF2B5EF4-FFF2-40B4-BE49-F238E27FC236}">
              <a16:creationId xmlns:a16="http://schemas.microsoft.com/office/drawing/2014/main" id="{00000000-0008-0000-0000-00004A040000}"/>
            </a:ext>
          </a:extLst>
        </xdr:cNvPr>
        <xdr:cNvSpPr>
          <a:spLocks noChangeShapeType="1"/>
        </xdr:cNvSpPr>
      </xdr:nvSpPr>
      <xdr:spPr bwMode="auto">
        <a:xfrm>
          <a:off x="9525" y="1704975"/>
          <a:ext cx="1076325" cy="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57150</xdr:rowOff>
        </xdr:from>
        <xdr:to>
          <xdr:col>0</xdr:col>
          <xdr:colOff>0</xdr:colOff>
          <xdr:row>36</xdr:row>
          <xdr:rowOff>104775</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209550</xdr:rowOff>
        </xdr:from>
        <xdr:to>
          <xdr:col>9</xdr:col>
          <xdr:colOff>200025</xdr:colOff>
          <xdr:row>0</xdr:row>
          <xdr:rowOff>342900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9</xdr:col>
          <xdr:colOff>0</xdr:colOff>
          <xdr:row>1</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1200150</xdr:colOff>
          <xdr:row>0</xdr:row>
          <xdr:rowOff>361950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361950</xdr:rowOff>
        </xdr:from>
        <xdr:to>
          <xdr:col>10</xdr:col>
          <xdr:colOff>133350</xdr:colOff>
          <xdr:row>1</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flipV="1">
          <a:off x="14097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3" name="Line 2">
          <a:extLst>
            <a:ext uri="{FF2B5EF4-FFF2-40B4-BE49-F238E27FC236}">
              <a16:creationId xmlns:a16="http://schemas.microsoft.com/office/drawing/2014/main" id="{00000000-0008-0000-0100-000003000000}"/>
            </a:ext>
          </a:extLst>
        </xdr:cNvPr>
        <xdr:cNvSpPr>
          <a:spLocks noChangeShapeType="1"/>
        </xdr:cNvSpPr>
      </xdr:nvSpPr>
      <xdr:spPr bwMode="auto">
        <a:xfrm>
          <a:off x="131445" y="0"/>
          <a:ext cx="101155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4" name="Line 3">
          <a:extLst>
            <a:ext uri="{FF2B5EF4-FFF2-40B4-BE49-F238E27FC236}">
              <a16:creationId xmlns:a16="http://schemas.microsoft.com/office/drawing/2014/main" id="{00000000-0008-0000-0100-000004000000}"/>
            </a:ext>
          </a:extLst>
        </xdr:cNvPr>
        <xdr:cNvSpPr>
          <a:spLocks noChangeShapeType="1"/>
        </xdr:cNvSpPr>
      </xdr:nvSpPr>
      <xdr:spPr bwMode="auto">
        <a:xfrm>
          <a:off x="121920" y="0"/>
          <a:ext cx="102108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 name="Line 4">
          <a:extLst>
            <a:ext uri="{FF2B5EF4-FFF2-40B4-BE49-F238E27FC236}">
              <a16:creationId xmlns:a16="http://schemas.microsoft.com/office/drawing/2014/main" id="{00000000-0008-0000-0100-000005000000}"/>
            </a:ext>
          </a:extLst>
        </xdr:cNvPr>
        <xdr:cNvSpPr>
          <a:spLocks noChangeShapeType="1"/>
        </xdr:cNvSpPr>
      </xdr:nvSpPr>
      <xdr:spPr bwMode="auto">
        <a:xfrm>
          <a:off x="11430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00000000-0008-0000-0100-000006000000}"/>
            </a:ext>
          </a:extLst>
        </xdr:cNvPr>
        <xdr:cNvSpPr>
          <a:spLocks noChangeShapeType="1"/>
        </xdr:cNvSpPr>
      </xdr:nvSpPr>
      <xdr:spPr bwMode="auto">
        <a:xfrm flipH="1">
          <a:off x="9525" y="0"/>
          <a:ext cx="12192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7" name="Line 6">
          <a:extLst>
            <a:ext uri="{FF2B5EF4-FFF2-40B4-BE49-F238E27FC236}">
              <a16:creationId xmlns:a16="http://schemas.microsoft.com/office/drawing/2014/main" id="{00000000-0008-0000-0100-000007000000}"/>
            </a:ext>
          </a:extLst>
        </xdr:cNvPr>
        <xdr:cNvSpPr>
          <a:spLocks noChangeShapeType="1"/>
        </xdr:cNvSpPr>
      </xdr:nvSpPr>
      <xdr:spPr bwMode="auto">
        <a:xfrm flipH="1">
          <a:off x="114300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8" name="Line 7">
          <a:extLst>
            <a:ext uri="{FF2B5EF4-FFF2-40B4-BE49-F238E27FC236}">
              <a16:creationId xmlns:a16="http://schemas.microsoft.com/office/drawing/2014/main" id="{00000000-0008-0000-0100-000008000000}"/>
            </a:ext>
          </a:extLst>
        </xdr:cNvPr>
        <xdr:cNvSpPr>
          <a:spLocks noChangeShapeType="1"/>
        </xdr:cNvSpPr>
      </xdr:nvSpPr>
      <xdr:spPr bwMode="auto">
        <a:xfrm flipV="1">
          <a:off x="114300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00000000-0008-0000-0100-000009000000}"/>
            </a:ext>
          </a:extLst>
        </xdr:cNvPr>
        <xdr:cNvSpPr>
          <a:spLocks noChangeShapeType="1"/>
        </xdr:cNvSpPr>
      </xdr:nvSpPr>
      <xdr:spPr bwMode="auto">
        <a:xfrm>
          <a:off x="12192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 name="Line 9">
          <a:extLst>
            <a:ext uri="{FF2B5EF4-FFF2-40B4-BE49-F238E27FC236}">
              <a16:creationId xmlns:a16="http://schemas.microsoft.com/office/drawing/2014/main" id="{00000000-0008-0000-0100-00000A000000}"/>
            </a:ext>
          </a:extLst>
        </xdr:cNvPr>
        <xdr:cNvSpPr>
          <a:spLocks noChangeShapeType="1"/>
        </xdr:cNvSpPr>
      </xdr:nvSpPr>
      <xdr:spPr bwMode="auto">
        <a:xfrm flipV="1">
          <a:off x="159258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1" name="Line 10">
          <a:extLst>
            <a:ext uri="{FF2B5EF4-FFF2-40B4-BE49-F238E27FC236}">
              <a16:creationId xmlns:a16="http://schemas.microsoft.com/office/drawing/2014/main" id="{00000000-0008-0000-0100-00000B000000}"/>
            </a:ext>
          </a:extLst>
        </xdr:cNvPr>
        <xdr:cNvSpPr>
          <a:spLocks noChangeShapeType="1"/>
        </xdr:cNvSpPr>
      </xdr:nvSpPr>
      <xdr:spPr bwMode="auto">
        <a:xfrm>
          <a:off x="0" y="0"/>
          <a:ext cx="1061656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2" name="Line 11">
          <a:extLst>
            <a:ext uri="{FF2B5EF4-FFF2-40B4-BE49-F238E27FC236}">
              <a16:creationId xmlns:a16="http://schemas.microsoft.com/office/drawing/2014/main" id="{00000000-0008-0000-0100-00000C000000}"/>
            </a:ext>
          </a:extLst>
        </xdr:cNvPr>
        <xdr:cNvSpPr>
          <a:spLocks noChangeShapeType="1"/>
        </xdr:cNvSpPr>
      </xdr:nvSpPr>
      <xdr:spPr bwMode="auto">
        <a:xfrm flipH="1">
          <a:off x="19050" y="0"/>
          <a:ext cx="1376553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3" name="Line 12">
          <a:extLst>
            <a:ext uri="{FF2B5EF4-FFF2-40B4-BE49-F238E27FC236}">
              <a16:creationId xmlns:a16="http://schemas.microsoft.com/office/drawing/2014/main" id="{00000000-0008-0000-0100-00000D000000}"/>
            </a:ext>
          </a:extLst>
        </xdr:cNvPr>
        <xdr:cNvSpPr>
          <a:spLocks noChangeShapeType="1"/>
        </xdr:cNvSpPr>
      </xdr:nvSpPr>
      <xdr:spPr bwMode="auto">
        <a:xfrm>
          <a:off x="9525" y="0"/>
          <a:ext cx="113347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4" name="Line 13">
          <a:extLst>
            <a:ext uri="{FF2B5EF4-FFF2-40B4-BE49-F238E27FC236}">
              <a16:creationId xmlns:a16="http://schemas.microsoft.com/office/drawing/2014/main" id="{00000000-0008-0000-0100-00000E000000}"/>
            </a:ext>
          </a:extLst>
        </xdr:cNvPr>
        <xdr:cNvSpPr>
          <a:spLocks noChangeShapeType="1"/>
        </xdr:cNvSpPr>
      </xdr:nvSpPr>
      <xdr:spPr bwMode="auto">
        <a:xfrm flipH="1" flipV="1">
          <a:off x="159258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00000000-0008-0000-0100-00000F00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6" name="Line 15">
          <a:extLst>
            <a:ext uri="{FF2B5EF4-FFF2-40B4-BE49-F238E27FC236}">
              <a16:creationId xmlns:a16="http://schemas.microsoft.com/office/drawing/2014/main" id="{00000000-0008-0000-0100-000010000000}"/>
            </a:ext>
          </a:extLst>
        </xdr:cNvPr>
        <xdr:cNvSpPr>
          <a:spLocks noChangeShapeType="1"/>
        </xdr:cNvSpPr>
      </xdr:nvSpPr>
      <xdr:spPr bwMode="auto">
        <a:xfrm>
          <a:off x="0" y="0"/>
          <a:ext cx="1378458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7" name="Line 16">
          <a:extLst>
            <a:ext uri="{FF2B5EF4-FFF2-40B4-BE49-F238E27FC236}">
              <a16:creationId xmlns:a16="http://schemas.microsoft.com/office/drawing/2014/main" id="{00000000-0008-0000-0100-000011000000}"/>
            </a:ext>
          </a:extLst>
        </xdr:cNvPr>
        <xdr:cNvSpPr>
          <a:spLocks noChangeShapeType="1"/>
        </xdr:cNvSpPr>
      </xdr:nvSpPr>
      <xdr:spPr bwMode="auto">
        <a:xfrm flipH="1" flipV="1">
          <a:off x="1378458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8" name="Line 17">
          <a:extLst>
            <a:ext uri="{FF2B5EF4-FFF2-40B4-BE49-F238E27FC236}">
              <a16:creationId xmlns:a16="http://schemas.microsoft.com/office/drawing/2014/main" id="{00000000-0008-0000-0100-000012000000}"/>
            </a:ext>
          </a:extLst>
        </xdr:cNvPr>
        <xdr:cNvSpPr>
          <a:spLocks noChangeShapeType="1"/>
        </xdr:cNvSpPr>
      </xdr:nvSpPr>
      <xdr:spPr bwMode="auto">
        <a:xfrm flipH="1" flipV="1">
          <a:off x="0" y="0"/>
          <a:ext cx="1343279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00000000-0008-0000-0100-00001300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20" name="Line 19">
          <a:extLst>
            <a:ext uri="{FF2B5EF4-FFF2-40B4-BE49-F238E27FC236}">
              <a16:creationId xmlns:a16="http://schemas.microsoft.com/office/drawing/2014/main" id="{00000000-0008-0000-0100-000014000000}"/>
            </a:ext>
          </a:extLst>
        </xdr:cNvPr>
        <xdr:cNvSpPr>
          <a:spLocks noChangeShapeType="1"/>
        </xdr:cNvSpPr>
      </xdr:nvSpPr>
      <xdr:spPr bwMode="auto">
        <a:xfrm>
          <a:off x="1162050" y="0"/>
          <a:ext cx="9585960"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21" name="Line 20">
          <a:extLst>
            <a:ext uri="{FF2B5EF4-FFF2-40B4-BE49-F238E27FC236}">
              <a16:creationId xmlns:a16="http://schemas.microsoft.com/office/drawing/2014/main" id="{00000000-0008-0000-0100-000015000000}"/>
            </a:ext>
          </a:extLst>
        </xdr:cNvPr>
        <xdr:cNvSpPr>
          <a:spLocks noChangeShapeType="1"/>
        </xdr:cNvSpPr>
      </xdr:nvSpPr>
      <xdr:spPr bwMode="auto">
        <a:xfrm>
          <a:off x="952500" y="0"/>
          <a:ext cx="1243584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22" name="Line 21">
          <a:extLst>
            <a:ext uri="{FF2B5EF4-FFF2-40B4-BE49-F238E27FC236}">
              <a16:creationId xmlns:a16="http://schemas.microsoft.com/office/drawing/2014/main" id="{00000000-0008-0000-0100-000016000000}"/>
            </a:ext>
          </a:extLst>
        </xdr:cNvPr>
        <xdr:cNvSpPr>
          <a:spLocks noChangeShapeType="1"/>
        </xdr:cNvSpPr>
      </xdr:nvSpPr>
      <xdr:spPr bwMode="auto">
        <a:xfrm>
          <a:off x="19050" y="0"/>
          <a:ext cx="12502515"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23" name="Line 22">
          <a:extLst>
            <a:ext uri="{FF2B5EF4-FFF2-40B4-BE49-F238E27FC236}">
              <a16:creationId xmlns:a16="http://schemas.microsoft.com/office/drawing/2014/main" id="{00000000-0008-0000-0100-000017000000}"/>
            </a:ext>
          </a:extLst>
        </xdr:cNvPr>
        <xdr:cNvSpPr>
          <a:spLocks noChangeShapeType="1"/>
        </xdr:cNvSpPr>
      </xdr:nvSpPr>
      <xdr:spPr bwMode="auto">
        <a:xfrm>
          <a:off x="13335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24" name="Line 23">
          <a:extLst>
            <a:ext uri="{FF2B5EF4-FFF2-40B4-BE49-F238E27FC236}">
              <a16:creationId xmlns:a16="http://schemas.microsoft.com/office/drawing/2014/main" id="{00000000-0008-0000-0100-000018000000}"/>
            </a:ext>
          </a:extLst>
        </xdr:cNvPr>
        <xdr:cNvSpPr>
          <a:spLocks noChangeShapeType="1"/>
        </xdr:cNvSpPr>
      </xdr:nvSpPr>
      <xdr:spPr bwMode="auto">
        <a:xfrm flipV="1">
          <a:off x="15925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5" name="Line 24">
          <a:extLst>
            <a:ext uri="{FF2B5EF4-FFF2-40B4-BE49-F238E27FC236}">
              <a16:creationId xmlns:a16="http://schemas.microsoft.com/office/drawing/2014/main" id="{00000000-0008-0000-0100-000019000000}"/>
            </a:ext>
          </a:extLst>
        </xdr:cNvPr>
        <xdr:cNvSpPr>
          <a:spLocks noChangeShapeType="1"/>
        </xdr:cNvSpPr>
      </xdr:nvSpPr>
      <xdr:spPr bwMode="auto">
        <a:xfrm>
          <a:off x="114300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26" name="Line 25">
          <a:extLst>
            <a:ext uri="{FF2B5EF4-FFF2-40B4-BE49-F238E27FC236}">
              <a16:creationId xmlns:a16="http://schemas.microsoft.com/office/drawing/2014/main" id="{00000000-0008-0000-0100-00001A000000}"/>
            </a:ext>
          </a:extLst>
        </xdr:cNvPr>
        <xdr:cNvSpPr>
          <a:spLocks noChangeShapeType="1"/>
        </xdr:cNvSpPr>
      </xdr:nvSpPr>
      <xdr:spPr bwMode="auto">
        <a:xfrm>
          <a:off x="10692765"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27" name="Line 26">
          <a:extLst>
            <a:ext uri="{FF2B5EF4-FFF2-40B4-BE49-F238E27FC236}">
              <a16:creationId xmlns:a16="http://schemas.microsoft.com/office/drawing/2014/main" id="{00000000-0008-0000-0100-00001B000000}"/>
            </a:ext>
          </a:extLst>
        </xdr:cNvPr>
        <xdr:cNvSpPr>
          <a:spLocks noChangeShapeType="1"/>
        </xdr:cNvSpPr>
      </xdr:nvSpPr>
      <xdr:spPr bwMode="auto">
        <a:xfrm>
          <a:off x="10521315" y="0"/>
          <a:ext cx="2876550"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28" name="Line 27">
          <a:extLst>
            <a:ext uri="{FF2B5EF4-FFF2-40B4-BE49-F238E27FC236}">
              <a16:creationId xmlns:a16="http://schemas.microsoft.com/office/drawing/2014/main" id="{00000000-0008-0000-0100-00001C000000}"/>
            </a:ext>
          </a:extLst>
        </xdr:cNvPr>
        <xdr:cNvSpPr>
          <a:spLocks noChangeShapeType="1"/>
        </xdr:cNvSpPr>
      </xdr:nvSpPr>
      <xdr:spPr bwMode="auto">
        <a:xfrm>
          <a:off x="9399270" y="0"/>
          <a:ext cx="134874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29" name="Line 28">
          <a:extLst>
            <a:ext uri="{FF2B5EF4-FFF2-40B4-BE49-F238E27FC236}">
              <a16:creationId xmlns:a16="http://schemas.microsoft.com/office/drawing/2014/main" id="{00000000-0008-0000-0100-00001D000000}"/>
            </a:ext>
          </a:extLst>
        </xdr:cNvPr>
        <xdr:cNvSpPr>
          <a:spLocks noChangeShapeType="1"/>
        </xdr:cNvSpPr>
      </xdr:nvSpPr>
      <xdr:spPr bwMode="auto">
        <a:xfrm>
          <a:off x="9121140"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30" name="Line 29">
          <a:extLst>
            <a:ext uri="{FF2B5EF4-FFF2-40B4-BE49-F238E27FC236}">
              <a16:creationId xmlns:a16="http://schemas.microsoft.com/office/drawing/2014/main" id="{00000000-0008-0000-0100-00001E000000}"/>
            </a:ext>
          </a:extLst>
        </xdr:cNvPr>
        <xdr:cNvSpPr>
          <a:spLocks noChangeShapeType="1"/>
        </xdr:cNvSpPr>
      </xdr:nvSpPr>
      <xdr:spPr bwMode="auto">
        <a:xfrm>
          <a:off x="9648825"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31" name="Line 30">
          <a:extLst>
            <a:ext uri="{FF2B5EF4-FFF2-40B4-BE49-F238E27FC236}">
              <a16:creationId xmlns:a16="http://schemas.microsoft.com/office/drawing/2014/main" id="{00000000-0008-0000-0100-00001F000000}"/>
            </a:ext>
          </a:extLst>
        </xdr:cNvPr>
        <xdr:cNvSpPr>
          <a:spLocks noChangeShapeType="1"/>
        </xdr:cNvSpPr>
      </xdr:nvSpPr>
      <xdr:spPr bwMode="auto">
        <a:xfrm>
          <a:off x="12512040" y="0"/>
          <a:ext cx="127254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32" name="Line 31">
          <a:extLst>
            <a:ext uri="{FF2B5EF4-FFF2-40B4-BE49-F238E27FC236}">
              <a16:creationId xmlns:a16="http://schemas.microsoft.com/office/drawing/2014/main" id="{00000000-0008-0000-0100-000020000000}"/>
            </a:ext>
          </a:extLst>
        </xdr:cNvPr>
        <xdr:cNvSpPr>
          <a:spLocks noChangeShapeType="1"/>
        </xdr:cNvSpPr>
      </xdr:nvSpPr>
      <xdr:spPr bwMode="auto">
        <a:xfrm>
          <a:off x="1045464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3" name="Line 32">
          <a:extLst>
            <a:ext uri="{FF2B5EF4-FFF2-40B4-BE49-F238E27FC236}">
              <a16:creationId xmlns:a16="http://schemas.microsoft.com/office/drawing/2014/main" id="{00000000-0008-0000-0100-000021000000}"/>
            </a:ext>
          </a:extLst>
        </xdr:cNvPr>
        <xdr:cNvSpPr>
          <a:spLocks noChangeShapeType="1"/>
        </xdr:cNvSpPr>
      </xdr:nvSpPr>
      <xdr:spPr bwMode="auto">
        <a:xfrm>
          <a:off x="10454640" y="0"/>
          <a:ext cx="332994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4" name="Line 33">
          <a:extLst>
            <a:ext uri="{FF2B5EF4-FFF2-40B4-BE49-F238E27FC236}">
              <a16:creationId xmlns:a16="http://schemas.microsoft.com/office/drawing/2014/main" id="{00000000-0008-0000-0100-000022000000}"/>
            </a:ext>
          </a:extLst>
        </xdr:cNvPr>
        <xdr:cNvSpPr>
          <a:spLocks noChangeShapeType="1"/>
        </xdr:cNvSpPr>
      </xdr:nvSpPr>
      <xdr:spPr bwMode="auto">
        <a:xfrm>
          <a:off x="10454640" y="0"/>
          <a:ext cx="332994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5" name="Line 34">
          <a:extLst>
            <a:ext uri="{FF2B5EF4-FFF2-40B4-BE49-F238E27FC236}">
              <a16:creationId xmlns:a16="http://schemas.microsoft.com/office/drawing/2014/main" id="{00000000-0008-0000-0100-000023000000}"/>
            </a:ext>
          </a:extLst>
        </xdr:cNvPr>
        <xdr:cNvSpPr>
          <a:spLocks noChangeShapeType="1"/>
        </xdr:cNvSpPr>
      </xdr:nvSpPr>
      <xdr:spPr bwMode="auto">
        <a:xfrm>
          <a:off x="10454640" y="0"/>
          <a:ext cx="332994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6" name="Line 35">
          <a:extLst>
            <a:ext uri="{FF2B5EF4-FFF2-40B4-BE49-F238E27FC236}">
              <a16:creationId xmlns:a16="http://schemas.microsoft.com/office/drawing/2014/main" id="{00000000-0008-0000-0100-000024000000}"/>
            </a:ext>
          </a:extLst>
        </xdr:cNvPr>
        <xdr:cNvSpPr>
          <a:spLocks noChangeShapeType="1"/>
        </xdr:cNvSpPr>
      </xdr:nvSpPr>
      <xdr:spPr bwMode="auto">
        <a:xfrm>
          <a:off x="10454640" y="0"/>
          <a:ext cx="3329940"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37" name="Line 36">
          <a:extLst>
            <a:ext uri="{FF2B5EF4-FFF2-40B4-BE49-F238E27FC236}">
              <a16:creationId xmlns:a16="http://schemas.microsoft.com/office/drawing/2014/main" id="{00000000-0008-0000-0100-000025000000}"/>
            </a:ext>
          </a:extLst>
        </xdr:cNvPr>
        <xdr:cNvSpPr>
          <a:spLocks noChangeShapeType="1"/>
        </xdr:cNvSpPr>
      </xdr:nvSpPr>
      <xdr:spPr bwMode="auto">
        <a:xfrm>
          <a:off x="10464165" y="0"/>
          <a:ext cx="3320415"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38" name="Line 37">
          <a:extLst>
            <a:ext uri="{FF2B5EF4-FFF2-40B4-BE49-F238E27FC236}">
              <a16:creationId xmlns:a16="http://schemas.microsoft.com/office/drawing/2014/main" id="{00000000-0008-0000-0100-000026000000}"/>
            </a:ext>
          </a:extLst>
        </xdr:cNvPr>
        <xdr:cNvSpPr>
          <a:spLocks noChangeShapeType="1"/>
        </xdr:cNvSpPr>
      </xdr:nvSpPr>
      <xdr:spPr bwMode="auto">
        <a:xfrm>
          <a:off x="1099756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39" name="Line 38">
          <a:extLst>
            <a:ext uri="{FF2B5EF4-FFF2-40B4-BE49-F238E27FC236}">
              <a16:creationId xmlns:a16="http://schemas.microsoft.com/office/drawing/2014/main" id="{00000000-0008-0000-0100-000027000000}"/>
            </a:ext>
          </a:extLst>
        </xdr:cNvPr>
        <xdr:cNvSpPr>
          <a:spLocks noChangeShapeType="1"/>
        </xdr:cNvSpPr>
      </xdr:nvSpPr>
      <xdr:spPr bwMode="auto">
        <a:xfrm flipH="1">
          <a:off x="12912090"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0" name="Line 39">
          <a:extLst>
            <a:ext uri="{FF2B5EF4-FFF2-40B4-BE49-F238E27FC236}">
              <a16:creationId xmlns:a16="http://schemas.microsoft.com/office/drawing/2014/main" id="{00000000-0008-0000-0100-000028000000}"/>
            </a:ext>
          </a:extLst>
        </xdr:cNvPr>
        <xdr:cNvSpPr>
          <a:spLocks noChangeShapeType="1"/>
        </xdr:cNvSpPr>
      </xdr:nvSpPr>
      <xdr:spPr bwMode="auto">
        <a:xfrm flipV="1">
          <a:off x="1291209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1" name="Line 40">
          <a:extLst>
            <a:ext uri="{FF2B5EF4-FFF2-40B4-BE49-F238E27FC236}">
              <a16:creationId xmlns:a16="http://schemas.microsoft.com/office/drawing/2014/main" id="{00000000-0008-0000-0100-000029000000}"/>
            </a:ext>
          </a:extLst>
        </xdr:cNvPr>
        <xdr:cNvSpPr>
          <a:spLocks noChangeShapeType="1"/>
        </xdr:cNvSpPr>
      </xdr:nvSpPr>
      <xdr:spPr bwMode="auto">
        <a:xfrm>
          <a:off x="12912090"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42" name="Line 41">
          <a:extLst>
            <a:ext uri="{FF2B5EF4-FFF2-40B4-BE49-F238E27FC236}">
              <a16:creationId xmlns:a16="http://schemas.microsoft.com/office/drawing/2014/main" id="{00000000-0008-0000-0100-00002A000000}"/>
            </a:ext>
          </a:extLst>
        </xdr:cNvPr>
        <xdr:cNvSpPr>
          <a:spLocks noChangeShapeType="1"/>
        </xdr:cNvSpPr>
      </xdr:nvSpPr>
      <xdr:spPr bwMode="auto">
        <a:xfrm>
          <a:off x="11544300"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43" name="Line 42">
          <a:extLst>
            <a:ext uri="{FF2B5EF4-FFF2-40B4-BE49-F238E27FC236}">
              <a16:creationId xmlns:a16="http://schemas.microsoft.com/office/drawing/2014/main" id="{00000000-0008-0000-0100-00002B000000}"/>
            </a:ext>
          </a:extLst>
        </xdr:cNvPr>
        <xdr:cNvSpPr>
          <a:spLocks noChangeShapeType="1"/>
        </xdr:cNvSpPr>
      </xdr:nvSpPr>
      <xdr:spPr bwMode="auto">
        <a:xfrm>
          <a:off x="13359765"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44" name="Line 43">
          <a:extLst>
            <a:ext uri="{FF2B5EF4-FFF2-40B4-BE49-F238E27FC236}">
              <a16:creationId xmlns:a16="http://schemas.microsoft.com/office/drawing/2014/main" id="{00000000-0008-0000-0100-00002C000000}"/>
            </a:ext>
          </a:extLst>
        </xdr:cNvPr>
        <xdr:cNvSpPr>
          <a:spLocks noChangeShapeType="1"/>
        </xdr:cNvSpPr>
      </xdr:nvSpPr>
      <xdr:spPr bwMode="auto">
        <a:xfrm>
          <a:off x="5469255" y="0"/>
          <a:ext cx="85725"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45" name="Line 44">
          <a:extLst>
            <a:ext uri="{FF2B5EF4-FFF2-40B4-BE49-F238E27FC236}">
              <a16:creationId xmlns:a16="http://schemas.microsoft.com/office/drawing/2014/main" id="{00000000-0008-0000-0100-00002D000000}"/>
            </a:ext>
          </a:extLst>
        </xdr:cNvPr>
        <xdr:cNvSpPr>
          <a:spLocks noChangeShapeType="1"/>
        </xdr:cNvSpPr>
      </xdr:nvSpPr>
      <xdr:spPr bwMode="auto">
        <a:xfrm>
          <a:off x="912114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46" name="Line 45">
          <a:extLst>
            <a:ext uri="{FF2B5EF4-FFF2-40B4-BE49-F238E27FC236}">
              <a16:creationId xmlns:a16="http://schemas.microsoft.com/office/drawing/2014/main" id="{00000000-0008-0000-0100-00002E000000}"/>
            </a:ext>
          </a:extLst>
        </xdr:cNvPr>
        <xdr:cNvSpPr>
          <a:spLocks noChangeShapeType="1"/>
        </xdr:cNvSpPr>
      </xdr:nvSpPr>
      <xdr:spPr bwMode="auto">
        <a:xfrm>
          <a:off x="9121140" y="0"/>
          <a:ext cx="25908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47" name="Line 46">
          <a:extLst>
            <a:ext uri="{FF2B5EF4-FFF2-40B4-BE49-F238E27FC236}">
              <a16:creationId xmlns:a16="http://schemas.microsoft.com/office/drawing/2014/main" id="{00000000-0008-0000-0100-00002F000000}"/>
            </a:ext>
          </a:extLst>
        </xdr:cNvPr>
        <xdr:cNvSpPr>
          <a:spLocks noChangeShapeType="1"/>
        </xdr:cNvSpPr>
      </xdr:nvSpPr>
      <xdr:spPr bwMode="auto">
        <a:xfrm>
          <a:off x="5469255" y="0"/>
          <a:ext cx="3747135"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48" name="Line 47">
          <a:extLst>
            <a:ext uri="{FF2B5EF4-FFF2-40B4-BE49-F238E27FC236}">
              <a16:creationId xmlns:a16="http://schemas.microsoft.com/office/drawing/2014/main" id="{00000000-0008-0000-0100-000030000000}"/>
            </a:ext>
          </a:extLst>
        </xdr:cNvPr>
        <xdr:cNvSpPr>
          <a:spLocks noChangeShapeType="1"/>
        </xdr:cNvSpPr>
      </xdr:nvSpPr>
      <xdr:spPr bwMode="auto">
        <a:xfrm>
          <a:off x="9149715" y="0"/>
          <a:ext cx="89154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00000000-0008-0000-0100-000031000000}"/>
            </a:ext>
          </a:extLst>
        </xdr:cNvPr>
        <xdr:cNvSpPr>
          <a:spLocks noChangeShapeType="1"/>
        </xdr:cNvSpPr>
      </xdr:nvSpPr>
      <xdr:spPr bwMode="auto">
        <a:xfrm>
          <a:off x="38100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50" name="Line 50">
          <a:extLst>
            <a:ext uri="{FF2B5EF4-FFF2-40B4-BE49-F238E27FC236}">
              <a16:creationId xmlns:a16="http://schemas.microsoft.com/office/drawing/2014/main" id="{00000000-0008-0000-0100-000032000000}"/>
            </a:ext>
          </a:extLst>
        </xdr:cNvPr>
        <xdr:cNvSpPr>
          <a:spLocks noChangeShapeType="1"/>
        </xdr:cNvSpPr>
      </xdr:nvSpPr>
      <xdr:spPr bwMode="auto">
        <a:xfrm>
          <a:off x="13335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51" name="Line 51">
          <a:extLst>
            <a:ext uri="{FF2B5EF4-FFF2-40B4-BE49-F238E27FC236}">
              <a16:creationId xmlns:a16="http://schemas.microsoft.com/office/drawing/2014/main" id="{00000000-0008-0000-0100-000033000000}"/>
            </a:ext>
          </a:extLst>
        </xdr:cNvPr>
        <xdr:cNvSpPr>
          <a:spLocks noChangeShapeType="1"/>
        </xdr:cNvSpPr>
      </xdr:nvSpPr>
      <xdr:spPr bwMode="auto">
        <a:xfrm>
          <a:off x="1592580" y="0"/>
          <a:ext cx="692658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52" name="Line 52">
          <a:extLst>
            <a:ext uri="{FF2B5EF4-FFF2-40B4-BE49-F238E27FC236}">
              <a16:creationId xmlns:a16="http://schemas.microsoft.com/office/drawing/2014/main" id="{00000000-0008-0000-0100-000034000000}"/>
            </a:ext>
          </a:extLst>
        </xdr:cNvPr>
        <xdr:cNvSpPr>
          <a:spLocks noChangeShapeType="1"/>
        </xdr:cNvSpPr>
      </xdr:nvSpPr>
      <xdr:spPr bwMode="auto">
        <a:xfrm flipH="1">
          <a:off x="4314825"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53" name="Line 53">
          <a:extLst>
            <a:ext uri="{FF2B5EF4-FFF2-40B4-BE49-F238E27FC236}">
              <a16:creationId xmlns:a16="http://schemas.microsoft.com/office/drawing/2014/main" id="{00000000-0008-0000-0100-000035000000}"/>
            </a:ext>
          </a:extLst>
        </xdr:cNvPr>
        <xdr:cNvSpPr>
          <a:spLocks noChangeShapeType="1"/>
        </xdr:cNvSpPr>
      </xdr:nvSpPr>
      <xdr:spPr bwMode="auto">
        <a:xfrm>
          <a:off x="5554980"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54" name="Line 54">
          <a:extLst>
            <a:ext uri="{FF2B5EF4-FFF2-40B4-BE49-F238E27FC236}">
              <a16:creationId xmlns:a16="http://schemas.microsoft.com/office/drawing/2014/main" id="{00000000-0008-0000-0100-000036000000}"/>
            </a:ext>
          </a:extLst>
        </xdr:cNvPr>
        <xdr:cNvSpPr>
          <a:spLocks noChangeShapeType="1"/>
        </xdr:cNvSpPr>
      </xdr:nvSpPr>
      <xdr:spPr bwMode="auto">
        <a:xfrm>
          <a:off x="4333875" y="0"/>
          <a:ext cx="122110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55" name="Line 55">
          <a:extLst>
            <a:ext uri="{FF2B5EF4-FFF2-40B4-BE49-F238E27FC236}">
              <a16:creationId xmlns:a16="http://schemas.microsoft.com/office/drawing/2014/main" id="{00000000-0008-0000-0100-000037000000}"/>
            </a:ext>
          </a:extLst>
        </xdr:cNvPr>
        <xdr:cNvSpPr>
          <a:spLocks noChangeShapeType="1"/>
        </xdr:cNvSpPr>
      </xdr:nvSpPr>
      <xdr:spPr bwMode="auto">
        <a:xfrm>
          <a:off x="490728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6" name="Line 56">
          <a:extLst>
            <a:ext uri="{FF2B5EF4-FFF2-40B4-BE49-F238E27FC236}">
              <a16:creationId xmlns:a16="http://schemas.microsoft.com/office/drawing/2014/main" id="{00000000-0008-0000-0100-000038000000}"/>
            </a:ext>
          </a:extLst>
        </xdr:cNvPr>
        <xdr:cNvSpPr>
          <a:spLocks noChangeShapeType="1"/>
        </xdr:cNvSpPr>
      </xdr:nvSpPr>
      <xdr:spPr bwMode="auto">
        <a:xfrm>
          <a:off x="791718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57" name="Line 57">
          <a:extLst>
            <a:ext uri="{FF2B5EF4-FFF2-40B4-BE49-F238E27FC236}">
              <a16:creationId xmlns:a16="http://schemas.microsoft.com/office/drawing/2014/main" id="{00000000-0008-0000-0100-000039000000}"/>
            </a:ext>
          </a:extLst>
        </xdr:cNvPr>
        <xdr:cNvSpPr>
          <a:spLocks noChangeShapeType="1"/>
        </xdr:cNvSpPr>
      </xdr:nvSpPr>
      <xdr:spPr bwMode="auto">
        <a:xfrm>
          <a:off x="938022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58" name="Line 58">
          <a:extLst>
            <a:ext uri="{FF2B5EF4-FFF2-40B4-BE49-F238E27FC236}">
              <a16:creationId xmlns:a16="http://schemas.microsoft.com/office/drawing/2014/main" id="{00000000-0008-0000-0100-00003A000000}"/>
            </a:ext>
          </a:extLst>
        </xdr:cNvPr>
        <xdr:cNvSpPr>
          <a:spLocks noChangeShapeType="1"/>
        </xdr:cNvSpPr>
      </xdr:nvSpPr>
      <xdr:spPr bwMode="auto">
        <a:xfrm>
          <a:off x="989838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59" name="Line 59">
          <a:extLst>
            <a:ext uri="{FF2B5EF4-FFF2-40B4-BE49-F238E27FC236}">
              <a16:creationId xmlns:a16="http://schemas.microsoft.com/office/drawing/2014/main" id="{00000000-0008-0000-0100-00003B000000}"/>
            </a:ext>
          </a:extLst>
        </xdr:cNvPr>
        <xdr:cNvSpPr>
          <a:spLocks noChangeShapeType="1"/>
        </xdr:cNvSpPr>
      </xdr:nvSpPr>
      <xdr:spPr bwMode="auto">
        <a:xfrm>
          <a:off x="10142220"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60" name="Line 60">
          <a:extLst>
            <a:ext uri="{FF2B5EF4-FFF2-40B4-BE49-F238E27FC236}">
              <a16:creationId xmlns:a16="http://schemas.microsoft.com/office/drawing/2014/main" id="{00000000-0008-0000-0100-00003C000000}"/>
            </a:ext>
          </a:extLst>
        </xdr:cNvPr>
        <xdr:cNvSpPr>
          <a:spLocks noChangeShapeType="1"/>
        </xdr:cNvSpPr>
      </xdr:nvSpPr>
      <xdr:spPr bwMode="auto">
        <a:xfrm>
          <a:off x="336042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1" name="Line 61">
          <a:extLst>
            <a:ext uri="{FF2B5EF4-FFF2-40B4-BE49-F238E27FC236}">
              <a16:creationId xmlns:a16="http://schemas.microsoft.com/office/drawing/2014/main" id="{00000000-0008-0000-0100-00003D000000}"/>
            </a:ext>
          </a:extLst>
        </xdr:cNvPr>
        <xdr:cNvSpPr>
          <a:spLocks noChangeShapeType="1"/>
        </xdr:cNvSpPr>
      </xdr:nvSpPr>
      <xdr:spPr bwMode="auto">
        <a:xfrm>
          <a:off x="9121140"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62" name="Line 62">
          <a:extLst>
            <a:ext uri="{FF2B5EF4-FFF2-40B4-BE49-F238E27FC236}">
              <a16:creationId xmlns:a16="http://schemas.microsoft.com/office/drawing/2014/main" id="{00000000-0008-0000-0100-00003E000000}"/>
            </a:ext>
          </a:extLst>
        </xdr:cNvPr>
        <xdr:cNvSpPr>
          <a:spLocks noChangeShapeType="1"/>
        </xdr:cNvSpPr>
      </xdr:nvSpPr>
      <xdr:spPr bwMode="auto">
        <a:xfrm>
          <a:off x="9359265"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63" name="Line 63">
          <a:extLst>
            <a:ext uri="{FF2B5EF4-FFF2-40B4-BE49-F238E27FC236}">
              <a16:creationId xmlns:a16="http://schemas.microsoft.com/office/drawing/2014/main" id="{00000000-0008-0000-0100-00003F000000}"/>
            </a:ext>
          </a:extLst>
        </xdr:cNvPr>
        <xdr:cNvSpPr>
          <a:spLocks noChangeShapeType="1"/>
        </xdr:cNvSpPr>
      </xdr:nvSpPr>
      <xdr:spPr bwMode="auto">
        <a:xfrm>
          <a:off x="1098804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64" name="Line 64">
          <a:extLst>
            <a:ext uri="{FF2B5EF4-FFF2-40B4-BE49-F238E27FC236}">
              <a16:creationId xmlns:a16="http://schemas.microsoft.com/office/drawing/2014/main" id="{00000000-0008-0000-0100-000040000000}"/>
            </a:ext>
          </a:extLst>
        </xdr:cNvPr>
        <xdr:cNvSpPr>
          <a:spLocks noChangeShapeType="1"/>
        </xdr:cNvSpPr>
      </xdr:nvSpPr>
      <xdr:spPr bwMode="auto">
        <a:xfrm>
          <a:off x="989838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65" name="Line 65">
          <a:extLst>
            <a:ext uri="{FF2B5EF4-FFF2-40B4-BE49-F238E27FC236}">
              <a16:creationId xmlns:a16="http://schemas.microsoft.com/office/drawing/2014/main" id="{00000000-0008-0000-0100-000041000000}"/>
            </a:ext>
          </a:extLst>
        </xdr:cNvPr>
        <xdr:cNvSpPr>
          <a:spLocks noChangeShapeType="1"/>
        </xdr:cNvSpPr>
      </xdr:nvSpPr>
      <xdr:spPr bwMode="auto">
        <a:xfrm>
          <a:off x="1014222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66" name="Line 66">
          <a:extLst>
            <a:ext uri="{FF2B5EF4-FFF2-40B4-BE49-F238E27FC236}">
              <a16:creationId xmlns:a16="http://schemas.microsoft.com/office/drawing/2014/main" id="{00000000-0008-0000-0100-000042000000}"/>
            </a:ext>
          </a:extLst>
        </xdr:cNvPr>
        <xdr:cNvSpPr>
          <a:spLocks noChangeShapeType="1"/>
        </xdr:cNvSpPr>
      </xdr:nvSpPr>
      <xdr:spPr bwMode="auto">
        <a:xfrm>
          <a:off x="1045464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7" name="Line 67">
          <a:extLst>
            <a:ext uri="{FF2B5EF4-FFF2-40B4-BE49-F238E27FC236}">
              <a16:creationId xmlns:a16="http://schemas.microsoft.com/office/drawing/2014/main" id="{00000000-0008-0000-0100-000043000000}"/>
            </a:ext>
          </a:extLst>
        </xdr:cNvPr>
        <xdr:cNvSpPr>
          <a:spLocks noChangeShapeType="1"/>
        </xdr:cNvSpPr>
      </xdr:nvSpPr>
      <xdr:spPr bwMode="auto">
        <a:xfrm>
          <a:off x="912114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8" name="Line 68">
          <a:extLst>
            <a:ext uri="{FF2B5EF4-FFF2-40B4-BE49-F238E27FC236}">
              <a16:creationId xmlns:a16="http://schemas.microsoft.com/office/drawing/2014/main" id="{00000000-0008-0000-0100-000044000000}"/>
            </a:ext>
          </a:extLst>
        </xdr:cNvPr>
        <xdr:cNvSpPr>
          <a:spLocks noChangeShapeType="1"/>
        </xdr:cNvSpPr>
      </xdr:nvSpPr>
      <xdr:spPr bwMode="auto">
        <a:xfrm>
          <a:off x="9121140"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69" name="Line 69">
          <a:extLst>
            <a:ext uri="{FF2B5EF4-FFF2-40B4-BE49-F238E27FC236}">
              <a16:creationId xmlns:a16="http://schemas.microsoft.com/office/drawing/2014/main" id="{00000000-0008-0000-0100-000045000000}"/>
            </a:ext>
          </a:extLst>
        </xdr:cNvPr>
        <xdr:cNvSpPr>
          <a:spLocks noChangeShapeType="1"/>
        </xdr:cNvSpPr>
      </xdr:nvSpPr>
      <xdr:spPr bwMode="auto">
        <a:xfrm flipV="1">
          <a:off x="104775" y="958215"/>
          <a:ext cx="36195" cy="10096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70" name="Line 70">
          <a:extLst>
            <a:ext uri="{FF2B5EF4-FFF2-40B4-BE49-F238E27FC236}">
              <a16:creationId xmlns:a16="http://schemas.microsoft.com/office/drawing/2014/main" id="{00000000-0008-0000-0100-000046000000}"/>
            </a:ext>
          </a:extLst>
        </xdr:cNvPr>
        <xdr:cNvSpPr>
          <a:spLocks noChangeShapeType="1"/>
        </xdr:cNvSpPr>
      </xdr:nvSpPr>
      <xdr:spPr bwMode="auto">
        <a:xfrm>
          <a:off x="131445" y="2476500"/>
          <a:ext cx="101155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1" name="Line 71">
          <a:extLst>
            <a:ext uri="{FF2B5EF4-FFF2-40B4-BE49-F238E27FC236}">
              <a16:creationId xmlns:a16="http://schemas.microsoft.com/office/drawing/2014/main" id="{00000000-0008-0000-0100-000047000000}"/>
            </a:ext>
          </a:extLst>
        </xdr:cNvPr>
        <xdr:cNvSpPr>
          <a:spLocks noChangeShapeType="1"/>
        </xdr:cNvSpPr>
      </xdr:nvSpPr>
      <xdr:spPr bwMode="auto">
        <a:xfrm>
          <a:off x="121920" y="2476500"/>
          <a:ext cx="102108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00000000-0008-0000-0100-000048000000}"/>
            </a:ext>
          </a:extLst>
        </xdr:cNvPr>
        <xdr:cNvSpPr>
          <a:spLocks noChangeShapeType="1"/>
        </xdr:cNvSpPr>
      </xdr:nvSpPr>
      <xdr:spPr bwMode="auto">
        <a:xfrm flipH="1">
          <a:off x="9525" y="2476500"/>
          <a:ext cx="12192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6</xdr:col>
      <xdr:colOff>0</xdr:colOff>
      <xdr:row>6</xdr:row>
      <xdr:rowOff>0</xdr:rowOff>
    </xdr:to>
    <xdr:sp macro="" textlink="">
      <xdr:nvSpPr>
        <xdr:cNvPr id="74" name="Line 74">
          <a:extLst>
            <a:ext uri="{FF2B5EF4-FFF2-40B4-BE49-F238E27FC236}">
              <a16:creationId xmlns:a16="http://schemas.microsoft.com/office/drawing/2014/main" id="{00000000-0008-0000-0100-00004A000000}"/>
            </a:ext>
          </a:extLst>
        </xdr:cNvPr>
        <xdr:cNvSpPr>
          <a:spLocks noChangeShapeType="1"/>
        </xdr:cNvSpPr>
      </xdr:nvSpPr>
      <xdr:spPr bwMode="auto">
        <a:xfrm>
          <a:off x="9525" y="2476500"/>
          <a:ext cx="1133475" cy="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57150</xdr:rowOff>
        </xdr:from>
        <xdr:to>
          <xdr:col>0</xdr:col>
          <xdr:colOff>0</xdr:colOff>
          <xdr:row>36</xdr:row>
          <xdr:rowOff>104775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209550</xdr:rowOff>
        </xdr:from>
        <xdr:to>
          <xdr:col>8</xdr:col>
          <xdr:colOff>1619250</xdr:colOff>
          <xdr:row>0</xdr:row>
          <xdr:rowOff>342900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1409700</xdr:colOff>
          <xdr:row>1</xdr:row>
          <xdr:rowOff>19050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1200150</xdr:colOff>
          <xdr:row>0</xdr:row>
          <xdr:rowOff>361950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361950</xdr:rowOff>
        </xdr:from>
        <xdr:to>
          <xdr:col>10</xdr:col>
          <xdr:colOff>95250</xdr:colOff>
          <xdr:row>1</xdr:row>
          <xdr:rowOff>19050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twoCellAnchor>
    <xdr:from>
      <xdr:col>1</xdr:col>
      <xdr:colOff>9525</xdr:colOff>
      <xdr:row>6</xdr:row>
      <xdr:rowOff>0</xdr:rowOff>
    </xdr:from>
    <xdr:to>
      <xdr:col>6</xdr:col>
      <xdr:colOff>0</xdr:colOff>
      <xdr:row>6</xdr:row>
      <xdr:rowOff>0</xdr:rowOff>
    </xdr:to>
    <xdr:sp macro="" textlink="">
      <xdr:nvSpPr>
        <xdr:cNvPr id="77" name="Line 70">
          <a:extLst>
            <a:ext uri="{FF2B5EF4-FFF2-40B4-BE49-F238E27FC236}">
              <a16:creationId xmlns:a16="http://schemas.microsoft.com/office/drawing/2014/main" id="{00000000-0008-0000-0100-00004D000000}"/>
            </a:ext>
          </a:extLst>
        </xdr:cNvPr>
        <xdr:cNvSpPr>
          <a:spLocks noChangeShapeType="1"/>
        </xdr:cNvSpPr>
      </xdr:nvSpPr>
      <xdr:spPr bwMode="auto">
        <a:xfrm>
          <a:off x="136525" y="25019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8" name="Line 71">
          <a:extLst>
            <a:ext uri="{FF2B5EF4-FFF2-40B4-BE49-F238E27FC236}">
              <a16:creationId xmlns:a16="http://schemas.microsoft.com/office/drawing/2014/main" id="{00000000-0008-0000-0100-00004E000000}"/>
            </a:ext>
          </a:extLst>
        </xdr:cNvPr>
        <xdr:cNvSpPr>
          <a:spLocks noChangeShapeType="1"/>
        </xdr:cNvSpPr>
      </xdr:nvSpPr>
      <xdr:spPr bwMode="auto">
        <a:xfrm>
          <a:off x="127000" y="2501900"/>
          <a:ext cx="1054100" cy="0"/>
        </a:xfrm>
        <a:prstGeom prst="line">
          <a:avLst/>
        </a:prstGeom>
        <a:noFill/>
        <a:ln w="9525">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flipV="1">
          <a:off x="14097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3" name="Line 2">
          <a:extLst>
            <a:ext uri="{FF2B5EF4-FFF2-40B4-BE49-F238E27FC236}">
              <a16:creationId xmlns:a16="http://schemas.microsoft.com/office/drawing/2014/main" id="{00000000-0008-0000-0200-000003000000}"/>
            </a:ext>
          </a:extLst>
        </xdr:cNvPr>
        <xdr:cNvSpPr>
          <a:spLocks noChangeShapeType="1"/>
        </xdr:cNvSpPr>
      </xdr:nvSpPr>
      <xdr:spPr bwMode="auto">
        <a:xfrm>
          <a:off x="131445" y="0"/>
          <a:ext cx="101155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4" name="Line 3">
          <a:extLst>
            <a:ext uri="{FF2B5EF4-FFF2-40B4-BE49-F238E27FC236}">
              <a16:creationId xmlns:a16="http://schemas.microsoft.com/office/drawing/2014/main" id="{00000000-0008-0000-0200-000004000000}"/>
            </a:ext>
          </a:extLst>
        </xdr:cNvPr>
        <xdr:cNvSpPr>
          <a:spLocks noChangeShapeType="1"/>
        </xdr:cNvSpPr>
      </xdr:nvSpPr>
      <xdr:spPr bwMode="auto">
        <a:xfrm>
          <a:off x="121920" y="0"/>
          <a:ext cx="102108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 name="Line 4">
          <a:extLst>
            <a:ext uri="{FF2B5EF4-FFF2-40B4-BE49-F238E27FC236}">
              <a16:creationId xmlns:a16="http://schemas.microsoft.com/office/drawing/2014/main" id="{00000000-0008-0000-0200-000005000000}"/>
            </a:ext>
          </a:extLst>
        </xdr:cNvPr>
        <xdr:cNvSpPr>
          <a:spLocks noChangeShapeType="1"/>
        </xdr:cNvSpPr>
      </xdr:nvSpPr>
      <xdr:spPr bwMode="auto">
        <a:xfrm>
          <a:off x="11430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00000000-0008-0000-0200-000006000000}"/>
            </a:ext>
          </a:extLst>
        </xdr:cNvPr>
        <xdr:cNvSpPr>
          <a:spLocks noChangeShapeType="1"/>
        </xdr:cNvSpPr>
      </xdr:nvSpPr>
      <xdr:spPr bwMode="auto">
        <a:xfrm flipH="1">
          <a:off x="9525" y="0"/>
          <a:ext cx="12192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7" name="Line 6">
          <a:extLst>
            <a:ext uri="{FF2B5EF4-FFF2-40B4-BE49-F238E27FC236}">
              <a16:creationId xmlns:a16="http://schemas.microsoft.com/office/drawing/2014/main" id="{00000000-0008-0000-0200-000007000000}"/>
            </a:ext>
          </a:extLst>
        </xdr:cNvPr>
        <xdr:cNvSpPr>
          <a:spLocks noChangeShapeType="1"/>
        </xdr:cNvSpPr>
      </xdr:nvSpPr>
      <xdr:spPr bwMode="auto">
        <a:xfrm flipH="1">
          <a:off x="114300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8" name="Line 7">
          <a:extLst>
            <a:ext uri="{FF2B5EF4-FFF2-40B4-BE49-F238E27FC236}">
              <a16:creationId xmlns:a16="http://schemas.microsoft.com/office/drawing/2014/main" id="{00000000-0008-0000-0200-000008000000}"/>
            </a:ext>
          </a:extLst>
        </xdr:cNvPr>
        <xdr:cNvSpPr>
          <a:spLocks noChangeShapeType="1"/>
        </xdr:cNvSpPr>
      </xdr:nvSpPr>
      <xdr:spPr bwMode="auto">
        <a:xfrm flipV="1">
          <a:off x="114300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00000000-0008-0000-0200-000009000000}"/>
            </a:ext>
          </a:extLst>
        </xdr:cNvPr>
        <xdr:cNvSpPr>
          <a:spLocks noChangeShapeType="1"/>
        </xdr:cNvSpPr>
      </xdr:nvSpPr>
      <xdr:spPr bwMode="auto">
        <a:xfrm>
          <a:off x="12192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 name="Line 9">
          <a:extLst>
            <a:ext uri="{FF2B5EF4-FFF2-40B4-BE49-F238E27FC236}">
              <a16:creationId xmlns:a16="http://schemas.microsoft.com/office/drawing/2014/main" id="{00000000-0008-0000-0200-00000A000000}"/>
            </a:ext>
          </a:extLst>
        </xdr:cNvPr>
        <xdr:cNvSpPr>
          <a:spLocks noChangeShapeType="1"/>
        </xdr:cNvSpPr>
      </xdr:nvSpPr>
      <xdr:spPr bwMode="auto">
        <a:xfrm flipV="1">
          <a:off x="159258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1" name="Line 10">
          <a:extLst>
            <a:ext uri="{FF2B5EF4-FFF2-40B4-BE49-F238E27FC236}">
              <a16:creationId xmlns:a16="http://schemas.microsoft.com/office/drawing/2014/main" id="{00000000-0008-0000-0200-00000B000000}"/>
            </a:ext>
          </a:extLst>
        </xdr:cNvPr>
        <xdr:cNvSpPr>
          <a:spLocks noChangeShapeType="1"/>
        </xdr:cNvSpPr>
      </xdr:nvSpPr>
      <xdr:spPr bwMode="auto">
        <a:xfrm>
          <a:off x="0" y="0"/>
          <a:ext cx="1061656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2" name="Line 11">
          <a:extLst>
            <a:ext uri="{FF2B5EF4-FFF2-40B4-BE49-F238E27FC236}">
              <a16:creationId xmlns:a16="http://schemas.microsoft.com/office/drawing/2014/main" id="{00000000-0008-0000-0200-00000C000000}"/>
            </a:ext>
          </a:extLst>
        </xdr:cNvPr>
        <xdr:cNvSpPr>
          <a:spLocks noChangeShapeType="1"/>
        </xdr:cNvSpPr>
      </xdr:nvSpPr>
      <xdr:spPr bwMode="auto">
        <a:xfrm flipH="1">
          <a:off x="19050" y="0"/>
          <a:ext cx="1376553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3" name="Line 12">
          <a:extLst>
            <a:ext uri="{FF2B5EF4-FFF2-40B4-BE49-F238E27FC236}">
              <a16:creationId xmlns:a16="http://schemas.microsoft.com/office/drawing/2014/main" id="{00000000-0008-0000-0200-00000D000000}"/>
            </a:ext>
          </a:extLst>
        </xdr:cNvPr>
        <xdr:cNvSpPr>
          <a:spLocks noChangeShapeType="1"/>
        </xdr:cNvSpPr>
      </xdr:nvSpPr>
      <xdr:spPr bwMode="auto">
        <a:xfrm>
          <a:off x="9525" y="0"/>
          <a:ext cx="113347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4" name="Line 13">
          <a:extLst>
            <a:ext uri="{FF2B5EF4-FFF2-40B4-BE49-F238E27FC236}">
              <a16:creationId xmlns:a16="http://schemas.microsoft.com/office/drawing/2014/main" id="{00000000-0008-0000-0200-00000E000000}"/>
            </a:ext>
          </a:extLst>
        </xdr:cNvPr>
        <xdr:cNvSpPr>
          <a:spLocks noChangeShapeType="1"/>
        </xdr:cNvSpPr>
      </xdr:nvSpPr>
      <xdr:spPr bwMode="auto">
        <a:xfrm flipH="1" flipV="1">
          <a:off x="159258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00000000-0008-0000-0200-00000F00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6" name="Line 15">
          <a:extLst>
            <a:ext uri="{FF2B5EF4-FFF2-40B4-BE49-F238E27FC236}">
              <a16:creationId xmlns:a16="http://schemas.microsoft.com/office/drawing/2014/main" id="{00000000-0008-0000-0200-000010000000}"/>
            </a:ext>
          </a:extLst>
        </xdr:cNvPr>
        <xdr:cNvSpPr>
          <a:spLocks noChangeShapeType="1"/>
        </xdr:cNvSpPr>
      </xdr:nvSpPr>
      <xdr:spPr bwMode="auto">
        <a:xfrm>
          <a:off x="0" y="0"/>
          <a:ext cx="1378458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7" name="Line 16">
          <a:extLst>
            <a:ext uri="{FF2B5EF4-FFF2-40B4-BE49-F238E27FC236}">
              <a16:creationId xmlns:a16="http://schemas.microsoft.com/office/drawing/2014/main" id="{00000000-0008-0000-0200-000011000000}"/>
            </a:ext>
          </a:extLst>
        </xdr:cNvPr>
        <xdr:cNvSpPr>
          <a:spLocks noChangeShapeType="1"/>
        </xdr:cNvSpPr>
      </xdr:nvSpPr>
      <xdr:spPr bwMode="auto">
        <a:xfrm flipH="1" flipV="1">
          <a:off x="1378458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8" name="Line 17">
          <a:extLst>
            <a:ext uri="{FF2B5EF4-FFF2-40B4-BE49-F238E27FC236}">
              <a16:creationId xmlns:a16="http://schemas.microsoft.com/office/drawing/2014/main" id="{00000000-0008-0000-0200-000012000000}"/>
            </a:ext>
          </a:extLst>
        </xdr:cNvPr>
        <xdr:cNvSpPr>
          <a:spLocks noChangeShapeType="1"/>
        </xdr:cNvSpPr>
      </xdr:nvSpPr>
      <xdr:spPr bwMode="auto">
        <a:xfrm flipH="1" flipV="1">
          <a:off x="0" y="0"/>
          <a:ext cx="1343279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00000000-0008-0000-0200-00001300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20" name="Line 19">
          <a:extLst>
            <a:ext uri="{FF2B5EF4-FFF2-40B4-BE49-F238E27FC236}">
              <a16:creationId xmlns:a16="http://schemas.microsoft.com/office/drawing/2014/main" id="{00000000-0008-0000-0200-000014000000}"/>
            </a:ext>
          </a:extLst>
        </xdr:cNvPr>
        <xdr:cNvSpPr>
          <a:spLocks noChangeShapeType="1"/>
        </xdr:cNvSpPr>
      </xdr:nvSpPr>
      <xdr:spPr bwMode="auto">
        <a:xfrm>
          <a:off x="1162050" y="0"/>
          <a:ext cx="9585960"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21" name="Line 20">
          <a:extLst>
            <a:ext uri="{FF2B5EF4-FFF2-40B4-BE49-F238E27FC236}">
              <a16:creationId xmlns:a16="http://schemas.microsoft.com/office/drawing/2014/main" id="{00000000-0008-0000-0200-000015000000}"/>
            </a:ext>
          </a:extLst>
        </xdr:cNvPr>
        <xdr:cNvSpPr>
          <a:spLocks noChangeShapeType="1"/>
        </xdr:cNvSpPr>
      </xdr:nvSpPr>
      <xdr:spPr bwMode="auto">
        <a:xfrm>
          <a:off x="952500" y="0"/>
          <a:ext cx="1243584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22" name="Line 21">
          <a:extLst>
            <a:ext uri="{FF2B5EF4-FFF2-40B4-BE49-F238E27FC236}">
              <a16:creationId xmlns:a16="http://schemas.microsoft.com/office/drawing/2014/main" id="{00000000-0008-0000-0200-000016000000}"/>
            </a:ext>
          </a:extLst>
        </xdr:cNvPr>
        <xdr:cNvSpPr>
          <a:spLocks noChangeShapeType="1"/>
        </xdr:cNvSpPr>
      </xdr:nvSpPr>
      <xdr:spPr bwMode="auto">
        <a:xfrm>
          <a:off x="19050" y="0"/>
          <a:ext cx="12502515"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23" name="Line 22">
          <a:extLst>
            <a:ext uri="{FF2B5EF4-FFF2-40B4-BE49-F238E27FC236}">
              <a16:creationId xmlns:a16="http://schemas.microsoft.com/office/drawing/2014/main" id="{00000000-0008-0000-0200-000017000000}"/>
            </a:ext>
          </a:extLst>
        </xdr:cNvPr>
        <xdr:cNvSpPr>
          <a:spLocks noChangeShapeType="1"/>
        </xdr:cNvSpPr>
      </xdr:nvSpPr>
      <xdr:spPr bwMode="auto">
        <a:xfrm>
          <a:off x="13335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24" name="Line 23">
          <a:extLst>
            <a:ext uri="{FF2B5EF4-FFF2-40B4-BE49-F238E27FC236}">
              <a16:creationId xmlns:a16="http://schemas.microsoft.com/office/drawing/2014/main" id="{00000000-0008-0000-0200-000018000000}"/>
            </a:ext>
          </a:extLst>
        </xdr:cNvPr>
        <xdr:cNvSpPr>
          <a:spLocks noChangeShapeType="1"/>
        </xdr:cNvSpPr>
      </xdr:nvSpPr>
      <xdr:spPr bwMode="auto">
        <a:xfrm flipV="1">
          <a:off x="159258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5" name="Line 24">
          <a:extLst>
            <a:ext uri="{FF2B5EF4-FFF2-40B4-BE49-F238E27FC236}">
              <a16:creationId xmlns:a16="http://schemas.microsoft.com/office/drawing/2014/main" id="{00000000-0008-0000-0200-000019000000}"/>
            </a:ext>
          </a:extLst>
        </xdr:cNvPr>
        <xdr:cNvSpPr>
          <a:spLocks noChangeShapeType="1"/>
        </xdr:cNvSpPr>
      </xdr:nvSpPr>
      <xdr:spPr bwMode="auto">
        <a:xfrm>
          <a:off x="114300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26" name="Line 25">
          <a:extLst>
            <a:ext uri="{FF2B5EF4-FFF2-40B4-BE49-F238E27FC236}">
              <a16:creationId xmlns:a16="http://schemas.microsoft.com/office/drawing/2014/main" id="{00000000-0008-0000-0200-00001A000000}"/>
            </a:ext>
          </a:extLst>
        </xdr:cNvPr>
        <xdr:cNvSpPr>
          <a:spLocks noChangeShapeType="1"/>
        </xdr:cNvSpPr>
      </xdr:nvSpPr>
      <xdr:spPr bwMode="auto">
        <a:xfrm>
          <a:off x="10692765"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27" name="Line 26">
          <a:extLst>
            <a:ext uri="{FF2B5EF4-FFF2-40B4-BE49-F238E27FC236}">
              <a16:creationId xmlns:a16="http://schemas.microsoft.com/office/drawing/2014/main" id="{00000000-0008-0000-0200-00001B000000}"/>
            </a:ext>
          </a:extLst>
        </xdr:cNvPr>
        <xdr:cNvSpPr>
          <a:spLocks noChangeShapeType="1"/>
        </xdr:cNvSpPr>
      </xdr:nvSpPr>
      <xdr:spPr bwMode="auto">
        <a:xfrm>
          <a:off x="10521315" y="0"/>
          <a:ext cx="2876550"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28" name="Line 27">
          <a:extLst>
            <a:ext uri="{FF2B5EF4-FFF2-40B4-BE49-F238E27FC236}">
              <a16:creationId xmlns:a16="http://schemas.microsoft.com/office/drawing/2014/main" id="{00000000-0008-0000-0200-00001C000000}"/>
            </a:ext>
          </a:extLst>
        </xdr:cNvPr>
        <xdr:cNvSpPr>
          <a:spLocks noChangeShapeType="1"/>
        </xdr:cNvSpPr>
      </xdr:nvSpPr>
      <xdr:spPr bwMode="auto">
        <a:xfrm>
          <a:off x="9399270" y="0"/>
          <a:ext cx="134874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29" name="Line 28">
          <a:extLst>
            <a:ext uri="{FF2B5EF4-FFF2-40B4-BE49-F238E27FC236}">
              <a16:creationId xmlns:a16="http://schemas.microsoft.com/office/drawing/2014/main" id="{00000000-0008-0000-0200-00001D000000}"/>
            </a:ext>
          </a:extLst>
        </xdr:cNvPr>
        <xdr:cNvSpPr>
          <a:spLocks noChangeShapeType="1"/>
        </xdr:cNvSpPr>
      </xdr:nvSpPr>
      <xdr:spPr bwMode="auto">
        <a:xfrm>
          <a:off x="9121140"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30" name="Line 29">
          <a:extLst>
            <a:ext uri="{FF2B5EF4-FFF2-40B4-BE49-F238E27FC236}">
              <a16:creationId xmlns:a16="http://schemas.microsoft.com/office/drawing/2014/main" id="{00000000-0008-0000-0200-00001E000000}"/>
            </a:ext>
          </a:extLst>
        </xdr:cNvPr>
        <xdr:cNvSpPr>
          <a:spLocks noChangeShapeType="1"/>
        </xdr:cNvSpPr>
      </xdr:nvSpPr>
      <xdr:spPr bwMode="auto">
        <a:xfrm>
          <a:off x="9648825"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31" name="Line 30">
          <a:extLst>
            <a:ext uri="{FF2B5EF4-FFF2-40B4-BE49-F238E27FC236}">
              <a16:creationId xmlns:a16="http://schemas.microsoft.com/office/drawing/2014/main" id="{00000000-0008-0000-0200-00001F000000}"/>
            </a:ext>
          </a:extLst>
        </xdr:cNvPr>
        <xdr:cNvSpPr>
          <a:spLocks noChangeShapeType="1"/>
        </xdr:cNvSpPr>
      </xdr:nvSpPr>
      <xdr:spPr bwMode="auto">
        <a:xfrm>
          <a:off x="12512040" y="0"/>
          <a:ext cx="127254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32" name="Line 31">
          <a:extLst>
            <a:ext uri="{FF2B5EF4-FFF2-40B4-BE49-F238E27FC236}">
              <a16:creationId xmlns:a16="http://schemas.microsoft.com/office/drawing/2014/main" id="{00000000-0008-0000-0200-000020000000}"/>
            </a:ext>
          </a:extLst>
        </xdr:cNvPr>
        <xdr:cNvSpPr>
          <a:spLocks noChangeShapeType="1"/>
        </xdr:cNvSpPr>
      </xdr:nvSpPr>
      <xdr:spPr bwMode="auto">
        <a:xfrm>
          <a:off x="1045464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3" name="Line 32">
          <a:extLst>
            <a:ext uri="{FF2B5EF4-FFF2-40B4-BE49-F238E27FC236}">
              <a16:creationId xmlns:a16="http://schemas.microsoft.com/office/drawing/2014/main" id="{00000000-0008-0000-0200-000021000000}"/>
            </a:ext>
          </a:extLst>
        </xdr:cNvPr>
        <xdr:cNvSpPr>
          <a:spLocks noChangeShapeType="1"/>
        </xdr:cNvSpPr>
      </xdr:nvSpPr>
      <xdr:spPr bwMode="auto">
        <a:xfrm>
          <a:off x="10454640" y="0"/>
          <a:ext cx="332994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4" name="Line 33">
          <a:extLst>
            <a:ext uri="{FF2B5EF4-FFF2-40B4-BE49-F238E27FC236}">
              <a16:creationId xmlns:a16="http://schemas.microsoft.com/office/drawing/2014/main" id="{00000000-0008-0000-0200-000022000000}"/>
            </a:ext>
          </a:extLst>
        </xdr:cNvPr>
        <xdr:cNvSpPr>
          <a:spLocks noChangeShapeType="1"/>
        </xdr:cNvSpPr>
      </xdr:nvSpPr>
      <xdr:spPr bwMode="auto">
        <a:xfrm>
          <a:off x="10454640" y="0"/>
          <a:ext cx="332994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5" name="Line 34">
          <a:extLst>
            <a:ext uri="{FF2B5EF4-FFF2-40B4-BE49-F238E27FC236}">
              <a16:creationId xmlns:a16="http://schemas.microsoft.com/office/drawing/2014/main" id="{00000000-0008-0000-0200-000023000000}"/>
            </a:ext>
          </a:extLst>
        </xdr:cNvPr>
        <xdr:cNvSpPr>
          <a:spLocks noChangeShapeType="1"/>
        </xdr:cNvSpPr>
      </xdr:nvSpPr>
      <xdr:spPr bwMode="auto">
        <a:xfrm>
          <a:off x="10454640" y="0"/>
          <a:ext cx="332994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6" name="Line 35">
          <a:extLst>
            <a:ext uri="{FF2B5EF4-FFF2-40B4-BE49-F238E27FC236}">
              <a16:creationId xmlns:a16="http://schemas.microsoft.com/office/drawing/2014/main" id="{00000000-0008-0000-0200-000024000000}"/>
            </a:ext>
          </a:extLst>
        </xdr:cNvPr>
        <xdr:cNvSpPr>
          <a:spLocks noChangeShapeType="1"/>
        </xdr:cNvSpPr>
      </xdr:nvSpPr>
      <xdr:spPr bwMode="auto">
        <a:xfrm>
          <a:off x="10454640" y="0"/>
          <a:ext cx="3329940"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37" name="Line 36">
          <a:extLst>
            <a:ext uri="{FF2B5EF4-FFF2-40B4-BE49-F238E27FC236}">
              <a16:creationId xmlns:a16="http://schemas.microsoft.com/office/drawing/2014/main" id="{00000000-0008-0000-0200-000025000000}"/>
            </a:ext>
          </a:extLst>
        </xdr:cNvPr>
        <xdr:cNvSpPr>
          <a:spLocks noChangeShapeType="1"/>
        </xdr:cNvSpPr>
      </xdr:nvSpPr>
      <xdr:spPr bwMode="auto">
        <a:xfrm>
          <a:off x="10464165" y="0"/>
          <a:ext cx="3320415"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38" name="Line 37">
          <a:extLst>
            <a:ext uri="{FF2B5EF4-FFF2-40B4-BE49-F238E27FC236}">
              <a16:creationId xmlns:a16="http://schemas.microsoft.com/office/drawing/2014/main" id="{00000000-0008-0000-0200-000026000000}"/>
            </a:ext>
          </a:extLst>
        </xdr:cNvPr>
        <xdr:cNvSpPr>
          <a:spLocks noChangeShapeType="1"/>
        </xdr:cNvSpPr>
      </xdr:nvSpPr>
      <xdr:spPr bwMode="auto">
        <a:xfrm>
          <a:off x="1099756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39" name="Line 38">
          <a:extLst>
            <a:ext uri="{FF2B5EF4-FFF2-40B4-BE49-F238E27FC236}">
              <a16:creationId xmlns:a16="http://schemas.microsoft.com/office/drawing/2014/main" id="{00000000-0008-0000-0200-000027000000}"/>
            </a:ext>
          </a:extLst>
        </xdr:cNvPr>
        <xdr:cNvSpPr>
          <a:spLocks noChangeShapeType="1"/>
        </xdr:cNvSpPr>
      </xdr:nvSpPr>
      <xdr:spPr bwMode="auto">
        <a:xfrm flipH="1">
          <a:off x="12912090"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0" name="Line 39">
          <a:extLst>
            <a:ext uri="{FF2B5EF4-FFF2-40B4-BE49-F238E27FC236}">
              <a16:creationId xmlns:a16="http://schemas.microsoft.com/office/drawing/2014/main" id="{00000000-0008-0000-0200-000028000000}"/>
            </a:ext>
          </a:extLst>
        </xdr:cNvPr>
        <xdr:cNvSpPr>
          <a:spLocks noChangeShapeType="1"/>
        </xdr:cNvSpPr>
      </xdr:nvSpPr>
      <xdr:spPr bwMode="auto">
        <a:xfrm flipV="1">
          <a:off x="1291209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1" name="Line 40">
          <a:extLst>
            <a:ext uri="{FF2B5EF4-FFF2-40B4-BE49-F238E27FC236}">
              <a16:creationId xmlns:a16="http://schemas.microsoft.com/office/drawing/2014/main" id="{00000000-0008-0000-0200-000029000000}"/>
            </a:ext>
          </a:extLst>
        </xdr:cNvPr>
        <xdr:cNvSpPr>
          <a:spLocks noChangeShapeType="1"/>
        </xdr:cNvSpPr>
      </xdr:nvSpPr>
      <xdr:spPr bwMode="auto">
        <a:xfrm>
          <a:off x="12912090"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42" name="Line 41">
          <a:extLst>
            <a:ext uri="{FF2B5EF4-FFF2-40B4-BE49-F238E27FC236}">
              <a16:creationId xmlns:a16="http://schemas.microsoft.com/office/drawing/2014/main" id="{00000000-0008-0000-0200-00002A000000}"/>
            </a:ext>
          </a:extLst>
        </xdr:cNvPr>
        <xdr:cNvSpPr>
          <a:spLocks noChangeShapeType="1"/>
        </xdr:cNvSpPr>
      </xdr:nvSpPr>
      <xdr:spPr bwMode="auto">
        <a:xfrm>
          <a:off x="11544300"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43" name="Line 42">
          <a:extLst>
            <a:ext uri="{FF2B5EF4-FFF2-40B4-BE49-F238E27FC236}">
              <a16:creationId xmlns:a16="http://schemas.microsoft.com/office/drawing/2014/main" id="{00000000-0008-0000-0200-00002B000000}"/>
            </a:ext>
          </a:extLst>
        </xdr:cNvPr>
        <xdr:cNvSpPr>
          <a:spLocks noChangeShapeType="1"/>
        </xdr:cNvSpPr>
      </xdr:nvSpPr>
      <xdr:spPr bwMode="auto">
        <a:xfrm>
          <a:off x="13359765"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44" name="Line 43">
          <a:extLst>
            <a:ext uri="{FF2B5EF4-FFF2-40B4-BE49-F238E27FC236}">
              <a16:creationId xmlns:a16="http://schemas.microsoft.com/office/drawing/2014/main" id="{00000000-0008-0000-0200-00002C000000}"/>
            </a:ext>
          </a:extLst>
        </xdr:cNvPr>
        <xdr:cNvSpPr>
          <a:spLocks noChangeShapeType="1"/>
        </xdr:cNvSpPr>
      </xdr:nvSpPr>
      <xdr:spPr bwMode="auto">
        <a:xfrm>
          <a:off x="5469255" y="0"/>
          <a:ext cx="85725"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45" name="Line 44">
          <a:extLst>
            <a:ext uri="{FF2B5EF4-FFF2-40B4-BE49-F238E27FC236}">
              <a16:creationId xmlns:a16="http://schemas.microsoft.com/office/drawing/2014/main" id="{00000000-0008-0000-0200-00002D000000}"/>
            </a:ext>
          </a:extLst>
        </xdr:cNvPr>
        <xdr:cNvSpPr>
          <a:spLocks noChangeShapeType="1"/>
        </xdr:cNvSpPr>
      </xdr:nvSpPr>
      <xdr:spPr bwMode="auto">
        <a:xfrm>
          <a:off x="912114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46" name="Line 45">
          <a:extLst>
            <a:ext uri="{FF2B5EF4-FFF2-40B4-BE49-F238E27FC236}">
              <a16:creationId xmlns:a16="http://schemas.microsoft.com/office/drawing/2014/main" id="{00000000-0008-0000-0200-00002E000000}"/>
            </a:ext>
          </a:extLst>
        </xdr:cNvPr>
        <xdr:cNvSpPr>
          <a:spLocks noChangeShapeType="1"/>
        </xdr:cNvSpPr>
      </xdr:nvSpPr>
      <xdr:spPr bwMode="auto">
        <a:xfrm>
          <a:off x="9121140" y="0"/>
          <a:ext cx="25908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47" name="Line 46">
          <a:extLst>
            <a:ext uri="{FF2B5EF4-FFF2-40B4-BE49-F238E27FC236}">
              <a16:creationId xmlns:a16="http://schemas.microsoft.com/office/drawing/2014/main" id="{00000000-0008-0000-0200-00002F000000}"/>
            </a:ext>
          </a:extLst>
        </xdr:cNvPr>
        <xdr:cNvSpPr>
          <a:spLocks noChangeShapeType="1"/>
        </xdr:cNvSpPr>
      </xdr:nvSpPr>
      <xdr:spPr bwMode="auto">
        <a:xfrm>
          <a:off x="5469255" y="0"/>
          <a:ext cx="3747135"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48" name="Line 47">
          <a:extLst>
            <a:ext uri="{FF2B5EF4-FFF2-40B4-BE49-F238E27FC236}">
              <a16:creationId xmlns:a16="http://schemas.microsoft.com/office/drawing/2014/main" id="{00000000-0008-0000-0200-000030000000}"/>
            </a:ext>
          </a:extLst>
        </xdr:cNvPr>
        <xdr:cNvSpPr>
          <a:spLocks noChangeShapeType="1"/>
        </xdr:cNvSpPr>
      </xdr:nvSpPr>
      <xdr:spPr bwMode="auto">
        <a:xfrm>
          <a:off x="9149715" y="0"/>
          <a:ext cx="89154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00000000-0008-0000-0200-000031000000}"/>
            </a:ext>
          </a:extLst>
        </xdr:cNvPr>
        <xdr:cNvSpPr>
          <a:spLocks noChangeShapeType="1"/>
        </xdr:cNvSpPr>
      </xdr:nvSpPr>
      <xdr:spPr bwMode="auto">
        <a:xfrm>
          <a:off x="38100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50" name="Line 50">
          <a:extLst>
            <a:ext uri="{FF2B5EF4-FFF2-40B4-BE49-F238E27FC236}">
              <a16:creationId xmlns:a16="http://schemas.microsoft.com/office/drawing/2014/main" id="{00000000-0008-0000-0200-000032000000}"/>
            </a:ext>
          </a:extLst>
        </xdr:cNvPr>
        <xdr:cNvSpPr>
          <a:spLocks noChangeShapeType="1"/>
        </xdr:cNvSpPr>
      </xdr:nvSpPr>
      <xdr:spPr bwMode="auto">
        <a:xfrm>
          <a:off x="13335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51" name="Line 51">
          <a:extLst>
            <a:ext uri="{FF2B5EF4-FFF2-40B4-BE49-F238E27FC236}">
              <a16:creationId xmlns:a16="http://schemas.microsoft.com/office/drawing/2014/main" id="{00000000-0008-0000-0200-000033000000}"/>
            </a:ext>
          </a:extLst>
        </xdr:cNvPr>
        <xdr:cNvSpPr>
          <a:spLocks noChangeShapeType="1"/>
        </xdr:cNvSpPr>
      </xdr:nvSpPr>
      <xdr:spPr bwMode="auto">
        <a:xfrm>
          <a:off x="1592580" y="0"/>
          <a:ext cx="692658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52" name="Line 52">
          <a:extLst>
            <a:ext uri="{FF2B5EF4-FFF2-40B4-BE49-F238E27FC236}">
              <a16:creationId xmlns:a16="http://schemas.microsoft.com/office/drawing/2014/main" id="{00000000-0008-0000-0200-000034000000}"/>
            </a:ext>
          </a:extLst>
        </xdr:cNvPr>
        <xdr:cNvSpPr>
          <a:spLocks noChangeShapeType="1"/>
        </xdr:cNvSpPr>
      </xdr:nvSpPr>
      <xdr:spPr bwMode="auto">
        <a:xfrm flipH="1">
          <a:off x="4314825"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53" name="Line 53">
          <a:extLst>
            <a:ext uri="{FF2B5EF4-FFF2-40B4-BE49-F238E27FC236}">
              <a16:creationId xmlns:a16="http://schemas.microsoft.com/office/drawing/2014/main" id="{00000000-0008-0000-0200-000035000000}"/>
            </a:ext>
          </a:extLst>
        </xdr:cNvPr>
        <xdr:cNvSpPr>
          <a:spLocks noChangeShapeType="1"/>
        </xdr:cNvSpPr>
      </xdr:nvSpPr>
      <xdr:spPr bwMode="auto">
        <a:xfrm>
          <a:off x="5554980"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54" name="Line 54">
          <a:extLst>
            <a:ext uri="{FF2B5EF4-FFF2-40B4-BE49-F238E27FC236}">
              <a16:creationId xmlns:a16="http://schemas.microsoft.com/office/drawing/2014/main" id="{00000000-0008-0000-0200-000036000000}"/>
            </a:ext>
          </a:extLst>
        </xdr:cNvPr>
        <xdr:cNvSpPr>
          <a:spLocks noChangeShapeType="1"/>
        </xdr:cNvSpPr>
      </xdr:nvSpPr>
      <xdr:spPr bwMode="auto">
        <a:xfrm>
          <a:off x="4333875" y="0"/>
          <a:ext cx="122110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55" name="Line 55">
          <a:extLst>
            <a:ext uri="{FF2B5EF4-FFF2-40B4-BE49-F238E27FC236}">
              <a16:creationId xmlns:a16="http://schemas.microsoft.com/office/drawing/2014/main" id="{00000000-0008-0000-0200-000037000000}"/>
            </a:ext>
          </a:extLst>
        </xdr:cNvPr>
        <xdr:cNvSpPr>
          <a:spLocks noChangeShapeType="1"/>
        </xdr:cNvSpPr>
      </xdr:nvSpPr>
      <xdr:spPr bwMode="auto">
        <a:xfrm>
          <a:off x="490728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6" name="Line 56">
          <a:extLst>
            <a:ext uri="{FF2B5EF4-FFF2-40B4-BE49-F238E27FC236}">
              <a16:creationId xmlns:a16="http://schemas.microsoft.com/office/drawing/2014/main" id="{00000000-0008-0000-0200-000038000000}"/>
            </a:ext>
          </a:extLst>
        </xdr:cNvPr>
        <xdr:cNvSpPr>
          <a:spLocks noChangeShapeType="1"/>
        </xdr:cNvSpPr>
      </xdr:nvSpPr>
      <xdr:spPr bwMode="auto">
        <a:xfrm>
          <a:off x="791718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57" name="Line 57">
          <a:extLst>
            <a:ext uri="{FF2B5EF4-FFF2-40B4-BE49-F238E27FC236}">
              <a16:creationId xmlns:a16="http://schemas.microsoft.com/office/drawing/2014/main" id="{00000000-0008-0000-0200-000039000000}"/>
            </a:ext>
          </a:extLst>
        </xdr:cNvPr>
        <xdr:cNvSpPr>
          <a:spLocks noChangeShapeType="1"/>
        </xdr:cNvSpPr>
      </xdr:nvSpPr>
      <xdr:spPr bwMode="auto">
        <a:xfrm>
          <a:off x="938022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58" name="Line 58">
          <a:extLst>
            <a:ext uri="{FF2B5EF4-FFF2-40B4-BE49-F238E27FC236}">
              <a16:creationId xmlns:a16="http://schemas.microsoft.com/office/drawing/2014/main" id="{00000000-0008-0000-0200-00003A000000}"/>
            </a:ext>
          </a:extLst>
        </xdr:cNvPr>
        <xdr:cNvSpPr>
          <a:spLocks noChangeShapeType="1"/>
        </xdr:cNvSpPr>
      </xdr:nvSpPr>
      <xdr:spPr bwMode="auto">
        <a:xfrm>
          <a:off x="989838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59" name="Line 59">
          <a:extLst>
            <a:ext uri="{FF2B5EF4-FFF2-40B4-BE49-F238E27FC236}">
              <a16:creationId xmlns:a16="http://schemas.microsoft.com/office/drawing/2014/main" id="{00000000-0008-0000-0200-00003B000000}"/>
            </a:ext>
          </a:extLst>
        </xdr:cNvPr>
        <xdr:cNvSpPr>
          <a:spLocks noChangeShapeType="1"/>
        </xdr:cNvSpPr>
      </xdr:nvSpPr>
      <xdr:spPr bwMode="auto">
        <a:xfrm>
          <a:off x="10142220"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60" name="Line 60">
          <a:extLst>
            <a:ext uri="{FF2B5EF4-FFF2-40B4-BE49-F238E27FC236}">
              <a16:creationId xmlns:a16="http://schemas.microsoft.com/office/drawing/2014/main" id="{00000000-0008-0000-0200-00003C000000}"/>
            </a:ext>
          </a:extLst>
        </xdr:cNvPr>
        <xdr:cNvSpPr>
          <a:spLocks noChangeShapeType="1"/>
        </xdr:cNvSpPr>
      </xdr:nvSpPr>
      <xdr:spPr bwMode="auto">
        <a:xfrm>
          <a:off x="336042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1" name="Line 61">
          <a:extLst>
            <a:ext uri="{FF2B5EF4-FFF2-40B4-BE49-F238E27FC236}">
              <a16:creationId xmlns:a16="http://schemas.microsoft.com/office/drawing/2014/main" id="{00000000-0008-0000-0200-00003D000000}"/>
            </a:ext>
          </a:extLst>
        </xdr:cNvPr>
        <xdr:cNvSpPr>
          <a:spLocks noChangeShapeType="1"/>
        </xdr:cNvSpPr>
      </xdr:nvSpPr>
      <xdr:spPr bwMode="auto">
        <a:xfrm>
          <a:off x="9121140"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62" name="Line 62">
          <a:extLst>
            <a:ext uri="{FF2B5EF4-FFF2-40B4-BE49-F238E27FC236}">
              <a16:creationId xmlns:a16="http://schemas.microsoft.com/office/drawing/2014/main" id="{00000000-0008-0000-0200-00003E000000}"/>
            </a:ext>
          </a:extLst>
        </xdr:cNvPr>
        <xdr:cNvSpPr>
          <a:spLocks noChangeShapeType="1"/>
        </xdr:cNvSpPr>
      </xdr:nvSpPr>
      <xdr:spPr bwMode="auto">
        <a:xfrm>
          <a:off x="9359265"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63" name="Line 63">
          <a:extLst>
            <a:ext uri="{FF2B5EF4-FFF2-40B4-BE49-F238E27FC236}">
              <a16:creationId xmlns:a16="http://schemas.microsoft.com/office/drawing/2014/main" id="{00000000-0008-0000-0200-00003F000000}"/>
            </a:ext>
          </a:extLst>
        </xdr:cNvPr>
        <xdr:cNvSpPr>
          <a:spLocks noChangeShapeType="1"/>
        </xdr:cNvSpPr>
      </xdr:nvSpPr>
      <xdr:spPr bwMode="auto">
        <a:xfrm>
          <a:off x="1098804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64" name="Line 64">
          <a:extLst>
            <a:ext uri="{FF2B5EF4-FFF2-40B4-BE49-F238E27FC236}">
              <a16:creationId xmlns:a16="http://schemas.microsoft.com/office/drawing/2014/main" id="{00000000-0008-0000-0200-000040000000}"/>
            </a:ext>
          </a:extLst>
        </xdr:cNvPr>
        <xdr:cNvSpPr>
          <a:spLocks noChangeShapeType="1"/>
        </xdr:cNvSpPr>
      </xdr:nvSpPr>
      <xdr:spPr bwMode="auto">
        <a:xfrm>
          <a:off x="989838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65" name="Line 65">
          <a:extLst>
            <a:ext uri="{FF2B5EF4-FFF2-40B4-BE49-F238E27FC236}">
              <a16:creationId xmlns:a16="http://schemas.microsoft.com/office/drawing/2014/main" id="{00000000-0008-0000-0200-000041000000}"/>
            </a:ext>
          </a:extLst>
        </xdr:cNvPr>
        <xdr:cNvSpPr>
          <a:spLocks noChangeShapeType="1"/>
        </xdr:cNvSpPr>
      </xdr:nvSpPr>
      <xdr:spPr bwMode="auto">
        <a:xfrm>
          <a:off x="1014222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66" name="Line 66">
          <a:extLst>
            <a:ext uri="{FF2B5EF4-FFF2-40B4-BE49-F238E27FC236}">
              <a16:creationId xmlns:a16="http://schemas.microsoft.com/office/drawing/2014/main" id="{00000000-0008-0000-0200-000042000000}"/>
            </a:ext>
          </a:extLst>
        </xdr:cNvPr>
        <xdr:cNvSpPr>
          <a:spLocks noChangeShapeType="1"/>
        </xdr:cNvSpPr>
      </xdr:nvSpPr>
      <xdr:spPr bwMode="auto">
        <a:xfrm>
          <a:off x="1045464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7" name="Line 67">
          <a:extLst>
            <a:ext uri="{FF2B5EF4-FFF2-40B4-BE49-F238E27FC236}">
              <a16:creationId xmlns:a16="http://schemas.microsoft.com/office/drawing/2014/main" id="{00000000-0008-0000-0200-000043000000}"/>
            </a:ext>
          </a:extLst>
        </xdr:cNvPr>
        <xdr:cNvSpPr>
          <a:spLocks noChangeShapeType="1"/>
        </xdr:cNvSpPr>
      </xdr:nvSpPr>
      <xdr:spPr bwMode="auto">
        <a:xfrm>
          <a:off x="912114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8" name="Line 68">
          <a:extLst>
            <a:ext uri="{FF2B5EF4-FFF2-40B4-BE49-F238E27FC236}">
              <a16:creationId xmlns:a16="http://schemas.microsoft.com/office/drawing/2014/main" id="{00000000-0008-0000-0200-000044000000}"/>
            </a:ext>
          </a:extLst>
        </xdr:cNvPr>
        <xdr:cNvSpPr>
          <a:spLocks noChangeShapeType="1"/>
        </xdr:cNvSpPr>
      </xdr:nvSpPr>
      <xdr:spPr bwMode="auto">
        <a:xfrm>
          <a:off x="9121140"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69" name="Line 69">
          <a:extLst>
            <a:ext uri="{FF2B5EF4-FFF2-40B4-BE49-F238E27FC236}">
              <a16:creationId xmlns:a16="http://schemas.microsoft.com/office/drawing/2014/main" id="{00000000-0008-0000-0200-000045000000}"/>
            </a:ext>
          </a:extLst>
        </xdr:cNvPr>
        <xdr:cNvSpPr>
          <a:spLocks noChangeShapeType="1"/>
        </xdr:cNvSpPr>
      </xdr:nvSpPr>
      <xdr:spPr bwMode="auto">
        <a:xfrm flipV="1">
          <a:off x="104775" y="958215"/>
          <a:ext cx="36195" cy="10096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70" name="Line 70">
          <a:extLst>
            <a:ext uri="{FF2B5EF4-FFF2-40B4-BE49-F238E27FC236}">
              <a16:creationId xmlns:a16="http://schemas.microsoft.com/office/drawing/2014/main" id="{00000000-0008-0000-0200-000046000000}"/>
            </a:ext>
          </a:extLst>
        </xdr:cNvPr>
        <xdr:cNvSpPr>
          <a:spLocks noChangeShapeType="1"/>
        </xdr:cNvSpPr>
      </xdr:nvSpPr>
      <xdr:spPr bwMode="auto">
        <a:xfrm>
          <a:off x="131445" y="2476500"/>
          <a:ext cx="101155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1" name="Line 71">
          <a:extLst>
            <a:ext uri="{FF2B5EF4-FFF2-40B4-BE49-F238E27FC236}">
              <a16:creationId xmlns:a16="http://schemas.microsoft.com/office/drawing/2014/main" id="{00000000-0008-0000-0200-000047000000}"/>
            </a:ext>
          </a:extLst>
        </xdr:cNvPr>
        <xdr:cNvSpPr>
          <a:spLocks noChangeShapeType="1"/>
        </xdr:cNvSpPr>
      </xdr:nvSpPr>
      <xdr:spPr bwMode="auto">
        <a:xfrm>
          <a:off x="121920" y="2476500"/>
          <a:ext cx="102108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00000000-0008-0000-0200-000048000000}"/>
            </a:ext>
          </a:extLst>
        </xdr:cNvPr>
        <xdr:cNvSpPr>
          <a:spLocks noChangeShapeType="1"/>
        </xdr:cNvSpPr>
      </xdr:nvSpPr>
      <xdr:spPr bwMode="auto">
        <a:xfrm flipH="1">
          <a:off x="9525" y="2476500"/>
          <a:ext cx="121920" cy="0"/>
        </a:xfrm>
        <a:prstGeom prst="line">
          <a:avLst/>
        </a:prstGeom>
        <a:noFill/>
        <a:ln w="9525">
          <a:solidFill>
            <a:srgbClr val="000000"/>
          </a:solidFill>
          <a:round/>
          <a:headEnd/>
          <a:tailEnd/>
        </a:ln>
      </xdr:spPr>
    </xdr:sp>
    <xdr:clientData/>
  </xdr:twoCellAnchor>
  <xdr:twoCellAnchor>
    <xdr:from>
      <xdr:col>0</xdr:col>
      <xdr:colOff>85725</xdr:colOff>
      <xdr:row>6</xdr:row>
      <xdr:rowOff>0</xdr:rowOff>
    </xdr:from>
    <xdr:to>
      <xdr:col>6</xdr:col>
      <xdr:colOff>76200</xdr:colOff>
      <xdr:row>6</xdr:row>
      <xdr:rowOff>0</xdr:rowOff>
    </xdr:to>
    <xdr:sp macro="" textlink="">
      <xdr:nvSpPr>
        <xdr:cNvPr id="74" name="Line 74">
          <a:extLst>
            <a:ext uri="{FF2B5EF4-FFF2-40B4-BE49-F238E27FC236}">
              <a16:creationId xmlns:a16="http://schemas.microsoft.com/office/drawing/2014/main" id="{00000000-0008-0000-0200-00004A000000}"/>
            </a:ext>
          </a:extLst>
        </xdr:cNvPr>
        <xdr:cNvSpPr>
          <a:spLocks noChangeShapeType="1"/>
        </xdr:cNvSpPr>
      </xdr:nvSpPr>
      <xdr:spPr bwMode="auto">
        <a:xfrm>
          <a:off x="85725" y="2476500"/>
          <a:ext cx="1171575" cy="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57150</xdr:rowOff>
        </xdr:from>
        <xdr:to>
          <xdr:col>0</xdr:col>
          <xdr:colOff>0</xdr:colOff>
          <xdr:row>36</xdr:row>
          <xdr:rowOff>104775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209550</xdr:rowOff>
        </xdr:from>
        <xdr:to>
          <xdr:col>8</xdr:col>
          <xdr:colOff>1619250</xdr:colOff>
          <xdr:row>0</xdr:row>
          <xdr:rowOff>342900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1409700</xdr:colOff>
          <xdr:row>1</xdr:row>
          <xdr:rowOff>19050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1200150</xdr:colOff>
          <xdr:row>0</xdr:row>
          <xdr:rowOff>361950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361950</xdr:rowOff>
        </xdr:from>
        <xdr:to>
          <xdr:col>10</xdr:col>
          <xdr:colOff>28575</xdr:colOff>
          <xdr:row>1</xdr:row>
          <xdr:rowOff>19050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flipV="1">
          <a:off x="1460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3" name="Line 2">
          <a:extLst>
            <a:ext uri="{FF2B5EF4-FFF2-40B4-BE49-F238E27FC236}">
              <a16:creationId xmlns:a16="http://schemas.microsoft.com/office/drawing/2014/main" id="{00000000-0008-0000-0300-000003000000}"/>
            </a:ext>
          </a:extLst>
        </xdr:cNvPr>
        <xdr:cNvSpPr>
          <a:spLocks noChangeShapeType="1"/>
        </xdr:cNvSpPr>
      </xdr:nvSpPr>
      <xdr:spPr bwMode="auto">
        <a:xfrm>
          <a:off x="136525" y="0"/>
          <a:ext cx="104457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4" name="Line 3">
          <a:extLst>
            <a:ext uri="{FF2B5EF4-FFF2-40B4-BE49-F238E27FC236}">
              <a16:creationId xmlns:a16="http://schemas.microsoft.com/office/drawing/2014/main" id="{00000000-0008-0000-0300-000004000000}"/>
            </a:ext>
          </a:extLst>
        </xdr:cNvPr>
        <xdr:cNvSpPr>
          <a:spLocks noChangeShapeType="1"/>
        </xdr:cNvSpPr>
      </xdr:nvSpPr>
      <xdr:spPr bwMode="auto">
        <a:xfrm>
          <a:off x="127000" y="0"/>
          <a:ext cx="10541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 name="Line 4">
          <a:extLst>
            <a:ext uri="{FF2B5EF4-FFF2-40B4-BE49-F238E27FC236}">
              <a16:creationId xmlns:a16="http://schemas.microsoft.com/office/drawing/2014/main" id="{00000000-0008-0000-0300-000005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00000000-0008-0000-0300-000006000000}"/>
            </a:ext>
          </a:extLst>
        </xdr:cNvPr>
        <xdr:cNvSpPr>
          <a:spLocks noChangeShapeType="1"/>
        </xdr:cNvSpPr>
      </xdr:nvSpPr>
      <xdr:spPr bwMode="auto">
        <a:xfrm flipH="1">
          <a:off x="9525" y="0"/>
          <a:ext cx="1270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7" name="Line 6">
          <a:extLst>
            <a:ext uri="{FF2B5EF4-FFF2-40B4-BE49-F238E27FC236}">
              <a16:creationId xmlns:a16="http://schemas.microsoft.com/office/drawing/2014/main" id="{00000000-0008-0000-0300-000007000000}"/>
            </a:ext>
          </a:extLst>
        </xdr:cNvPr>
        <xdr:cNvSpPr>
          <a:spLocks noChangeShapeType="1"/>
        </xdr:cNvSpPr>
      </xdr:nvSpPr>
      <xdr:spPr bwMode="auto">
        <a:xfrm flipH="1">
          <a:off x="118110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8" name="Line 7">
          <a:extLst>
            <a:ext uri="{FF2B5EF4-FFF2-40B4-BE49-F238E27FC236}">
              <a16:creationId xmlns:a16="http://schemas.microsoft.com/office/drawing/2014/main" id="{00000000-0008-0000-0300-000008000000}"/>
            </a:ext>
          </a:extLst>
        </xdr:cNvPr>
        <xdr:cNvSpPr>
          <a:spLocks noChangeShapeType="1"/>
        </xdr:cNvSpPr>
      </xdr:nvSpPr>
      <xdr:spPr bwMode="auto">
        <a:xfrm flipV="1">
          <a:off x="118110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00000000-0008-0000-0300-000009000000}"/>
            </a:ext>
          </a:extLst>
        </xdr:cNvPr>
        <xdr:cNvSpPr>
          <a:spLocks noChangeShapeType="1"/>
        </xdr:cNvSpPr>
      </xdr:nvSpPr>
      <xdr:spPr bwMode="auto">
        <a:xfrm>
          <a:off x="1270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 name="Line 9">
          <a:extLst>
            <a:ext uri="{FF2B5EF4-FFF2-40B4-BE49-F238E27FC236}">
              <a16:creationId xmlns:a16="http://schemas.microsoft.com/office/drawing/2014/main" id="{00000000-0008-0000-0300-00000A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1" name="Line 10">
          <a:extLst>
            <a:ext uri="{FF2B5EF4-FFF2-40B4-BE49-F238E27FC236}">
              <a16:creationId xmlns:a16="http://schemas.microsoft.com/office/drawing/2014/main" id="{00000000-0008-0000-0300-00000B000000}"/>
            </a:ext>
          </a:extLst>
        </xdr:cNvPr>
        <xdr:cNvSpPr>
          <a:spLocks noChangeShapeType="1"/>
        </xdr:cNvSpPr>
      </xdr:nvSpPr>
      <xdr:spPr bwMode="auto">
        <a:xfrm>
          <a:off x="0" y="0"/>
          <a:ext cx="1085532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2" name="Line 11">
          <a:extLst>
            <a:ext uri="{FF2B5EF4-FFF2-40B4-BE49-F238E27FC236}">
              <a16:creationId xmlns:a16="http://schemas.microsoft.com/office/drawing/2014/main" id="{00000000-0008-0000-0300-00000C000000}"/>
            </a:ext>
          </a:extLst>
        </xdr:cNvPr>
        <xdr:cNvSpPr>
          <a:spLocks noChangeShapeType="1"/>
        </xdr:cNvSpPr>
      </xdr:nvSpPr>
      <xdr:spPr bwMode="auto">
        <a:xfrm flipH="1">
          <a:off x="19050" y="0"/>
          <a:ext cx="140779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3" name="Line 12">
          <a:extLst>
            <a:ext uri="{FF2B5EF4-FFF2-40B4-BE49-F238E27FC236}">
              <a16:creationId xmlns:a16="http://schemas.microsoft.com/office/drawing/2014/main" id="{00000000-0008-0000-0300-00000D000000}"/>
            </a:ext>
          </a:extLst>
        </xdr:cNvPr>
        <xdr:cNvSpPr>
          <a:spLocks noChangeShapeType="1"/>
        </xdr:cNvSpPr>
      </xdr:nvSpPr>
      <xdr:spPr bwMode="auto">
        <a:xfrm>
          <a:off x="9525" y="0"/>
          <a:ext cx="117157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4" name="Line 13">
          <a:extLst>
            <a:ext uri="{FF2B5EF4-FFF2-40B4-BE49-F238E27FC236}">
              <a16:creationId xmlns:a16="http://schemas.microsoft.com/office/drawing/2014/main" id="{00000000-0008-0000-0300-00000E000000}"/>
            </a:ext>
          </a:extLst>
        </xdr:cNvPr>
        <xdr:cNvSpPr>
          <a:spLocks noChangeShapeType="1"/>
        </xdr:cNvSpPr>
      </xdr:nvSpPr>
      <xdr:spPr bwMode="auto">
        <a:xfrm flipH="1"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00000000-0008-0000-0300-00000F00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6" name="Line 15">
          <a:extLst>
            <a:ext uri="{FF2B5EF4-FFF2-40B4-BE49-F238E27FC236}">
              <a16:creationId xmlns:a16="http://schemas.microsoft.com/office/drawing/2014/main" id="{00000000-0008-0000-0300-000010000000}"/>
            </a:ext>
          </a:extLst>
        </xdr:cNvPr>
        <xdr:cNvSpPr>
          <a:spLocks noChangeShapeType="1"/>
        </xdr:cNvSpPr>
      </xdr:nvSpPr>
      <xdr:spPr bwMode="auto">
        <a:xfrm>
          <a:off x="0" y="0"/>
          <a:ext cx="1409700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7" name="Line 16">
          <a:extLst>
            <a:ext uri="{FF2B5EF4-FFF2-40B4-BE49-F238E27FC236}">
              <a16:creationId xmlns:a16="http://schemas.microsoft.com/office/drawing/2014/main" id="{00000000-0008-0000-0300-000011000000}"/>
            </a:ext>
          </a:extLst>
        </xdr:cNvPr>
        <xdr:cNvSpPr>
          <a:spLocks noChangeShapeType="1"/>
        </xdr:cNvSpPr>
      </xdr:nvSpPr>
      <xdr:spPr bwMode="auto">
        <a:xfrm flipH="1" flipV="1">
          <a:off x="140970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8" name="Line 17">
          <a:extLst>
            <a:ext uri="{FF2B5EF4-FFF2-40B4-BE49-F238E27FC236}">
              <a16:creationId xmlns:a16="http://schemas.microsoft.com/office/drawing/2014/main" id="{00000000-0008-0000-0300-000012000000}"/>
            </a:ext>
          </a:extLst>
        </xdr:cNvPr>
        <xdr:cNvSpPr>
          <a:spLocks noChangeShapeType="1"/>
        </xdr:cNvSpPr>
      </xdr:nvSpPr>
      <xdr:spPr bwMode="auto">
        <a:xfrm flipH="1" flipV="1">
          <a:off x="0" y="0"/>
          <a:ext cx="137350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00000000-0008-0000-0300-00001300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20" name="Line 19">
          <a:extLst>
            <a:ext uri="{FF2B5EF4-FFF2-40B4-BE49-F238E27FC236}">
              <a16:creationId xmlns:a16="http://schemas.microsoft.com/office/drawing/2014/main" id="{00000000-0008-0000-0300-000014000000}"/>
            </a:ext>
          </a:extLst>
        </xdr:cNvPr>
        <xdr:cNvSpPr>
          <a:spLocks noChangeShapeType="1"/>
        </xdr:cNvSpPr>
      </xdr:nvSpPr>
      <xdr:spPr bwMode="auto">
        <a:xfrm>
          <a:off x="1200150" y="0"/>
          <a:ext cx="9791700"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21" name="Line 20">
          <a:extLst>
            <a:ext uri="{FF2B5EF4-FFF2-40B4-BE49-F238E27FC236}">
              <a16:creationId xmlns:a16="http://schemas.microsoft.com/office/drawing/2014/main" id="{00000000-0008-0000-0300-000015000000}"/>
            </a:ext>
          </a:extLst>
        </xdr:cNvPr>
        <xdr:cNvSpPr>
          <a:spLocks noChangeShapeType="1"/>
        </xdr:cNvSpPr>
      </xdr:nvSpPr>
      <xdr:spPr bwMode="auto">
        <a:xfrm>
          <a:off x="984250" y="0"/>
          <a:ext cx="127063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22" name="Line 21">
          <a:extLst>
            <a:ext uri="{FF2B5EF4-FFF2-40B4-BE49-F238E27FC236}">
              <a16:creationId xmlns:a16="http://schemas.microsoft.com/office/drawing/2014/main" id="{00000000-0008-0000-0300-000016000000}"/>
            </a:ext>
          </a:extLst>
        </xdr:cNvPr>
        <xdr:cNvSpPr>
          <a:spLocks noChangeShapeType="1"/>
        </xdr:cNvSpPr>
      </xdr:nvSpPr>
      <xdr:spPr bwMode="auto">
        <a:xfrm>
          <a:off x="19050" y="0"/>
          <a:ext cx="12785725"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23" name="Line 22">
          <a:extLst>
            <a:ext uri="{FF2B5EF4-FFF2-40B4-BE49-F238E27FC236}">
              <a16:creationId xmlns:a16="http://schemas.microsoft.com/office/drawing/2014/main" id="{00000000-0008-0000-0300-000017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24" name="Line 23">
          <a:extLst>
            <a:ext uri="{FF2B5EF4-FFF2-40B4-BE49-F238E27FC236}">
              <a16:creationId xmlns:a16="http://schemas.microsoft.com/office/drawing/2014/main" id="{00000000-0008-0000-0300-000018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5" name="Line 24">
          <a:extLst>
            <a:ext uri="{FF2B5EF4-FFF2-40B4-BE49-F238E27FC236}">
              <a16:creationId xmlns:a16="http://schemas.microsoft.com/office/drawing/2014/main" id="{00000000-0008-0000-0300-000019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26" name="Line 25">
          <a:extLst>
            <a:ext uri="{FF2B5EF4-FFF2-40B4-BE49-F238E27FC236}">
              <a16:creationId xmlns:a16="http://schemas.microsoft.com/office/drawing/2014/main" id="{00000000-0008-0000-0300-00001A000000}"/>
            </a:ext>
          </a:extLst>
        </xdr:cNvPr>
        <xdr:cNvSpPr>
          <a:spLocks noChangeShapeType="1"/>
        </xdr:cNvSpPr>
      </xdr:nvSpPr>
      <xdr:spPr bwMode="auto">
        <a:xfrm>
          <a:off x="10931525"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27" name="Line 26">
          <a:extLst>
            <a:ext uri="{FF2B5EF4-FFF2-40B4-BE49-F238E27FC236}">
              <a16:creationId xmlns:a16="http://schemas.microsoft.com/office/drawing/2014/main" id="{00000000-0008-0000-0300-00001B000000}"/>
            </a:ext>
          </a:extLst>
        </xdr:cNvPr>
        <xdr:cNvSpPr>
          <a:spLocks noChangeShapeType="1"/>
        </xdr:cNvSpPr>
      </xdr:nvSpPr>
      <xdr:spPr bwMode="auto">
        <a:xfrm>
          <a:off x="10760075" y="0"/>
          <a:ext cx="2940050"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28" name="Line 27">
          <a:extLst>
            <a:ext uri="{FF2B5EF4-FFF2-40B4-BE49-F238E27FC236}">
              <a16:creationId xmlns:a16="http://schemas.microsoft.com/office/drawing/2014/main" id="{00000000-0008-0000-0300-00001C000000}"/>
            </a:ext>
          </a:extLst>
        </xdr:cNvPr>
        <xdr:cNvSpPr>
          <a:spLocks noChangeShapeType="1"/>
        </xdr:cNvSpPr>
      </xdr:nvSpPr>
      <xdr:spPr bwMode="auto">
        <a:xfrm>
          <a:off x="9613900" y="0"/>
          <a:ext cx="137795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29" name="Line 28">
          <a:extLst>
            <a:ext uri="{FF2B5EF4-FFF2-40B4-BE49-F238E27FC236}">
              <a16:creationId xmlns:a16="http://schemas.microsoft.com/office/drawing/2014/main" id="{00000000-0008-0000-0300-00001D000000}"/>
            </a:ext>
          </a:extLst>
        </xdr:cNvPr>
        <xdr:cNvSpPr>
          <a:spLocks noChangeShapeType="1"/>
        </xdr:cNvSpPr>
      </xdr:nvSpPr>
      <xdr:spPr bwMode="auto">
        <a:xfrm>
          <a:off x="9328150"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30" name="Line 29">
          <a:extLst>
            <a:ext uri="{FF2B5EF4-FFF2-40B4-BE49-F238E27FC236}">
              <a16:creationId xmlns:a16="http://schemas.microsoft.com/office/drawing/2014/main" id="{00000000-0008-0000-0300-00001E000000}"/>
            </a:ext>
          </a:extLst>
        </xdr:cNvPr>
        <xdr:cNvSpPr>
          <a:spLocks noChangeShapeType="1"/>
        </xdr:cNvSpPr>
      </xdr:nvSpPr>
      <xdr:spPr bwMode="auto">
        <a:xfrm>
          <a:off x="9871075"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31" name="Line 30">
          <a:extLst>
            <a:ext uri="{FF2B5EF4-FFF2-40B4-BE49-F238E27FC236}">
              <a16:creationId xmlns:a16="http://schemas.microsoft.com/office/drawing/2014/main" id="{00000000-0008-0000-0300-00001F000000}"/>
            </a:ext>
          </a:extLst>
        </xdr:cNvPr>
        <xdr:cNvSpPr>
          <a:spLocks noChangeShapeType="1"/>
        </xdr:cNvSpPr>
      </xdr:nvSpPr>
      <xdr:spPr bwMode="auto">
        <a:xfrm>
          <a:off x="12795250" y="0"/>
          <a:ext cx="1301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32" name="Line 31">
          <a:extLst>
            <a:ext uri="{FF2B5EF4-FFF2-40B4-BE49-F238E27FC236}">
              <a16:creationId xmlns:a16="http://schemas.microsoft.com/office/drawing/2014/main" id="{00000000-0008-0000-0300-000020000000}"/>
            </a:ext>
          </a:extLst>
        </xdr:cNvPr>
        <xdr:cNvSpPr>
          <a:spLocks noChangeShapeType="1"/>
        </xdr:cNvSpPr>
      </xdr:nvSpPr>
      <xdr:spPr bwMode="auto">
        <a:xfrm>
          <a:off x="1069340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3" name="Line 32">
          <a:extLst>
            <a:ext uri="{FF2B5EF4-FFF2-40B4-BE49-F238E27FC236}">
              <a16:creationId xmlns:a16="http://schemas.microsoft.com/office/drawing/2014/main" id="{00000000-0008-0000-0300-000021000000}"/>
            </a:ext>
          </a:extLst>
        </xdr:cNvPr>
        <xdr:cNvSpPr>
          <a:spLocks noChangeShapeType="1"/>
        </xdr:cNvSpPr>
      </xdr:nvSpPr>
      <xdr:spPr bwMode="auto">
        <a:xfrm>
          <a:off x="10693400" y="0"/>
          <a:ext cx="340360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4" name="Line 33">
          <a:extLst>
            <a:ext uri="{FF2B5EF4-FFF2-40B4-BE49-F238E27FC236}">
              <a16:creationId xmlns:a16="http://schemas.microsoft.com/office/drawing/2014/main" id="{00000000-0008-0000-0300-000022000000}"/>
            </a:ext>
          </a:extLst>
        </xdr:cNvPr>
        <xdr:cNvSpPr>
          <a:spLocks noChangeShapeType="1"/>
        </xdr:cNvSpPr>
      </xdr:nvSpPr>
      <xdr:spPr bwMode="auto">
        <a:xfrm>
          <a:off x="10693400" y="0"/>
          <a:ext cx="340360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5" name="Line 34">
          <a:extLst>
            <a:ext uri="{FF2B5EF4-FFF2-40B4-BE49-F238E27FC236}">
              <a16:creationId xmlns:a16="http://schemas.microsoft.com/office/drawing/2014/main" id="{00000000-0008-0000-0300-000023000000}"/>
            </a:ext>
          </a:extLst>
        </xdr:cNvPr>
        <xdr:cNvSpPr>
          <a:spLocks noChangeShapeType="1"/>
        </xdr:cNvSpPr>
      </xdr:nvSpPr>
      <xdr:spPr bwMode="auto">
        <a:xfrm>
          <a:off x="10693400" y="0"/>
          <a:ext cx="340360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6" name="Line 35">
          <a:extLst>
            <a:ext uri="{FF2B5EF4-FFF2-40B4-BE49-F238E27FC236}">
              <a16:creationId xmlns:a16="http://schemas.microsoft.com/office/drawing/2014/main" id="{00000000-0008-0000-0300-000024000000}"/>
            </a:ext>
          </a:extLst>
        </xdr:cNvPr>
        <xdr:cNvSpPr>
          <a:spLocks noChangeShapeType="1"/>
        </xdr:cNvSpPr>
      </xdr:nvSpPr>
      <xdr:spPr bwMode="auto">
        <a:xfrm>
          <a:off x="10693400" y="0"/>
          <a:ext cx="3403600"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37" name="Line 36">
          <a:extLst>
            <a:ext uri="{FF2B5EF4-FFF2-40B4-BE49-F238E27FC236}">
              <a16:creationId xmlns:a16="http://schemas.microsoft.com/office/drawing/2014/main" id="{00000000-0008-0000-0300-000025000000}"/>
            </a:ext>
          </a:extLst>
        </xdr:cNvPr>
        <xdr:cNvSpPr>
          <a:spLocks noChangeShapeType="1"/>
        </xdr:cNvSpPr>
      </xdr:nvSpPr>
      <xdr:spPr bwMode="auto">
        <a:xfrm>
          <a:off x="10702925" y="0"/>
          <a:ext cx="3394075"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38" name="Line 37">
          <a:extLst>
            <a:ext uri="{FF2B5EF4-FFF2-40B4-BE49-F238E27FC236}">
              <a16:creationId xmlns:a16="http://schemas.microsoft.com/office/drawing/2014/main" id="{00000000-0008-0000-0300-000026000000}"/>
            </a:ext>
          </a:extLst>
        </xdr:cNvPr>
        <xdr:cNvSpPr>
          <a:spLocks noChangeShapeType="1"/>
        </xdr:cNvSpPr>
      </xdr:nvSpPr>
      <xdr:spPr bwMode="auto">
        <a:xfrm>
          <a:off x="1124902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39" name="Line 38">
          <a:extLst>
            <a:ext uri="{FF2B5EF4-FFF2-40B4-BE49-F238E27FC236}">
              <a16:creationId xmlns:a16="http://schemas.microsoft.com/office/drawing/2014/main" id="{00000000-0008-0000-0300-000027000000}"/>
            </a:ext>
          </a:extLst>
        </xdr:cNvPr>
        <xdr:cNvSpPr>
          <a:spLocks noChangeShapeType="1"/>
        </xdr:cNvSpPr>
      </xdr:nvSpPr>
      <xdr:spPr bwMode="auto">
        <a:xfrm flipH="1">
          <a:off x="13195300"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0" name="Line 39">
          <a:extLst>
            <a:ext uri="{FF2B5EF4-FFF2-40B4-BE49-F238E27FC236}">
              <a16:creationId xmlns:a16="http://schemas.microsoft.com/office/drawing/2014/main" id="{00000000-0008-0000-0300-000028000000}"/>
            </a:ext>
          </a:extLst>
        </xdr:cNvPr>
        <xdr:cNvSpPr>
          <a:spLocks noChangeShapeType="1"/>
        </xdr:cNvSpPr>
      </xdr:nvSpPr>
      <xdr:spPr bwMode="auto">
        <a:xfrm flipV="1">
          <a:off x="1319530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1" name="Line 40">
          <a:extLst>
            <a:ext uri="{FF2B5EF4-FFF2-40B4-BE49-F238E27FC236}">
              <a16:creationId xmlns:a16="http://schemas.microsoft.com/office/drawing/2014/main" id="{00000000-0008-0000-0300-000029000000}"/>
            </a:ext>
          </a:extLst>
        </xdr:cNvPr>
        <xdr:cNvSpPr>
          <a:spLocks noChangeShapeType="1"/>
        </xdr:cNvSpPr>
      </xdr:nvSpPr>
      <xdr:spPr bwMode="auto">
        <a:xfrm>
          <a:off x="13195300"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42" name="Line 41">
          <a:extLst>
            <a:ext uri="{FF2B5EF4-FFF2-40B4-BE49-F238E27FC236}">
              <a16:creationId xmlns:a16="http://schemas.microsoft.com/office/drawing/2014/main" id="{00000000-0008-0000-0300-00002A000000}"/>
            </a:ext>
          </a:extLst>
        </xdr:cNvPr>
        <xdr:cNvSpPr>
          <a:spLocks noChangeShapeType="1"/>
        </xdr:cNvSpPr>
      </xdr:nvSpPr>
      <xdr:spPr bwMode="auto">
        <a:xfrm>
          <a:off x="11804650"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43" name="Line 42">
          <a:extLst>
            <a:ext uri="{FF2B5EF4-FFF2-40B4-BE49-F238E27FC236}">
              <a16:creationId xmlns:a16="http://schemas.microsoft.com/office/drawing/2014/main" id="{00000000-0008-0000-0300-00002B000000}"/>
            </a:ext>
          </a:extLst>
        </xdr:cNvPr>
        <xdr:cNvSpPr>
          <a:spLocks noChangeShapeType="1"/>
        </xdr:cNvSpPr>
      </xdr:nvSpPr>
      <xdr:spPr bwMode="auto">
        <a:xfrm>
          <a:off x="13642975"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44" name="Line 43">
          <a:extLst>
            <a:ext uri="{FF2B5EF4-FFF2-40B4-BE49-F238E27FC236}">
              <a16:creationId xmlns:a16="http://schemas.microsoft.com/office/drawing/2014/main" id="{00000000-0008-0000-0300-00002C000000}"/>
            </a:ext>
          </a:extLst>
        </xdr:cNvPr>
        <xdr:cNvSpPr>
          <a:spLocks noChangeShapeType="1"/>
        </xdr:cNvSpPr>
      </xdr:nvSpPr>
      <xdr:spPr bwMode="auto">
        <a:xfrm>
          <a:off x="5591175" y="0"/>
          <a:ext cx="98425"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45" name="Line 44">
          <a:extLst>
            <a:ext uri="{FF2B5EF4-FFF2-40B4-BE49-F238E27FC236}">
              <a16:creationId xmlns:a16="http://schemas.microsoft.com/office/drawing/2014/main" id="{00000000-0008-0000-0300-00002D000000}"/>
            </a:ext>
          </a:extLst>
        </xdr:cNvPr>
        <xdr:cNvSpPr>
          <a:spLocks noChangeShapeType="1"/>
        </xdr:cNvSpPr>
      </xdr:nvSpPr>
      <xdr:spPr bwMode="auto">
        <a:xfrm>
          <a:off x="93281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46" name="Line 45">
          <a:extLst>
            <a:ext uri="{FF2B5EF4-FFF2-40B4-BE49-F238E27FC236}">
              <a16:creationId xmlns:a16="http://schemas.microsoft.com/office/drawing/2014/main" id="{00000000-0008-0000-0300-00002E000000}"/>
            </a:ext>
          </a:extLst>
        </xdr:cNvPr>
        <xdr:cNvSpPr>
          <a:spLocks noChangeShapeType="1"/>
        </xdr:cNvSpPr>
      </xdr:nvSpPr>
      <xdr:spPr bwMode="auto">
        <a:xfrm>
          <a:off x="9328150" y="0"/>
          <a:ext cx="26670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47" name="Line 46">
          <a:extLst>
            <a:ext uri="{FF2B5EF4-FFF2-40B4-BE49-F238E27FC236}">
              <a16:creationId xmlns:a16="http://schemas.microsoft.com/office/drawing/2014/main" id="{00000000-0008-0000-0300-00002F000000}"/>
            </a:ext>
          </a:extLst>
        </xdr:cNvPr>
        <xdr:cNvSpPr>
          <a:spLocks noChangeShapeType="1"/>
        </xdr:cNvSpPr>
      </xdr:nvSpPr>
      <xdr:spPr bwMode="auto">
        <a:xfrm>
          <a:off x="5591175" y="0"/>
          <a:ext cx="3832225"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48" name="Line 47">
          <a:extLst>
            <a:ext uri="{FF2B5EF4-FFF2-40B4-BE49-F238E27FC236}">
              <a16:creationId xmlns:a16="http://schemas.microsoft.com/office/drawing/2014/main" id="{00000000-0008-0000-0300-000030000000}"/>
            </a:ext>
          </a:extLst>
        </xdr:cNvPr>
        <xdr:cNvSpPr>
          <a:spLocks noChangeShapeType="1"/>
        </xdr:cNvSpPr>
      </xdr:nvSpPr>
      <xdr:spPr bwMode="auto">
        <a:xfrm>
          <a:off x="9356725" y="0"/>
          <a:ext cx="91440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00000000-0008-0000-0300-000031000000}"/>
            </a:ext>
          </a:extLst>
        </xdr:cNvPr>
        <xdr:cNvSpPr>
          <a:spLocks noChangeShapeType="1"/>
        </xdr:cNvSpPr>
      </xdr:nvSpPr>
      <xdr:spPr bwMode="auto">
        <a:xfrm>
          <a:off x="39370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50" name="Line 50">
          <a:extLst>
            <a:ext uri="{FF2B5EF4-FFF2-40B4-BE49-F238E27FC236}">
              <a16:creationId xmlns:a16="http://schemas.microsoft.com/office/drawing/2014/main" id="{00000000-0008-0000-0300-000032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51" name="Line 51">
          <a:extLst>
            <a:ext uri="{FF2B5EF4-FFF2-40B4-BE49-F238E27FC236}">
              <a16:creationId xmlns:a16="http://schemas.microsoft.com/office/drawing/2014/main" id="{00000000-0008-0000-0300-000033000000}"/>
            </a:ext>
          </a:extLst>
        </xdr:cNvPr>
        <xdr:cNvSpPr>
          <a:spLocks noChangeShapeType="1"/>
        </xdr:cNvSpPr>
      </xdr:nvSpPr>
      <xdr:spPr bwMode="auto">
        <a:xfrm>
          <a:off x="1644650" y="0"/>
          <a:ext cx="706755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52" name="Line 52">
          <a:extLst>
            <a:ext uri="{FF2B5EF4-FFF2-40B4-BE49-F238E27FC236}">
              <a16:creationId xmlns:a16="http://schemas.microsoft.com/office/drawing/2014/main" id="{00000000-0008-0000-0300-000034000000}"/>
            </a:ext>
          </a:extLst>
        </xdr:cNvPr>
        <xdr:cNvSpPr>
          <a:spLocks noChangeShapeType="1"/>
        </xdr:cNvSpPr>
      </xdr:nvSpPr>
      <xdr:spPr bwMode="auto">
        <a:xfrm flipH="1">
          <a:off x="4422775"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53" name="Line 53">
          <a:extLst>
            <a:ext uri="{FF2B5EF4-FFF2-40B4-BE49-F238E27FC236}">
              <a16:creationId xmlns:a16="http://schemas.microsoft.com/office/drawing/2014/main" id="{00000000-0008-0000-0300-000035000000}"/>
            </a:ext>
          </a:extLst>
        </xdr:cNvPr>
        <xdr:cNvSpPr>
          <a:spLocks noChangeShapeType="1"/>
        </xdr:cNvSpPr>
      </xdr:nvSpPr>
      <xdr:spPr bwMode="auto">
        <a:xfrm>
          <a:off x="5689600"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54" name="Line 54">
          <a:extLst>
            <a:ext uri="{FF2B5EF4-FFF2-40B4-BE49-F238E27FC236}">
              <a16:creationId xmlns:a16="http://schemas.microsoft.com/office/drawing/2014/main" id="{00000000-0008-0000-0300-000036000000}"/>
            </a:ext>
          </a:extLst>
        </xdr:cNvPr>
        <xdr:cNvSpPr>
          <a:spLocks noChangeShapeType="1"/>
        </xdr:cNvSpPr>
      </xdr:nvSpPr>
      <xdr:spPr bwMode="auto">
        <a:xfrm>
          <a:off x="4441825" y="0"/>
          <a:ext cx="124777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55" name="Line 55">
          <a:extLst>
            <a:ext uri="{FF2B5EF4-FFF2-40B4-BE49-F238E27FC236}">
              <a16:creationId xmlns:a16="http://schemas.microsoft.com/office/drawing/2014/main" id="{00000000-0008-0000-0300-000037000000}"/>
            </a:ext>
          </a:extLst>
        </xdr:cNvPr>
        <xdr:cNvSpPr>
          <a:spLocks noChangeShapeType="1"/>
        </xdr:cNvSpPr>
      </xdr:nvSpPr>
      <xdr:spPr bwMode="auto">
        <a:xfrm>
          <a:off x="502920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6" name="Line 56">
          <a:extLst>
            <a:ext uri="{FF2B5EF4-FFF2-40B4-BE49-F238E27FC236}">
              <a16:creationId xmlns:a16="http://schemas.microsoft.com/office/drawing/2014/main" id="{00000000-0008-0000-0300-000038000000}"/>
            </a:ext>
          </a:extLst>
        </xdr:cNvPr>
        <xdr:cNvSpPr>
          <a:spLocks noChangeShapeType="1"/>
        </xdr:cNvSpPr>
      </xdr:nvSpPr>
      <xdr:spPr bwMode="auto">
        <a:xfrm>
          <a:off x="809625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57" name="Line 57">
          <a:extLst>
            <a:ext uri="{FF2B5EF4-FFF2-40B4-BE49-F238E27FC236}">
              <a16:creationId xmlns:a16="http://schemas.microsoft.com/office/drawing/2014/main" id="{00000000-0008-0000-0300-000039000000}"/>
            </a:ext>
          </a:extLst>
        </xdr:cNvPr>
        <xdr:cNvSpPr>
          <a:spLocks noChangeShapeType="1"/>
        </xdr:cNvSpPr>
      </xdr:nvSpPr>
      <xdr:spPr bwMode="auto">
        <a:xfrm>
          <a:off x="959485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58" name="Line 58">
          <a:extLst>
            <a:ext uri="{FF2B5EF4-FFF2-40B4-BE49-F238E27FC236}">
              <a16:creationId xmlns:a16="http://schemas.microsoft.com/office/drawing/2014/main" id="{00000000-0008-0000-0300-00003A000000}"/>
            </a:ext>
          </a:extLst>
        </xdr:cNvPr>
        <xdr:cNvSpPr>
          <a:spLocks noChangeShapeType="1"/>
        </xdr:cNvSpPr>
      </xdr:nvSpPr>
      <xdr:spPr bwMode="auto">
        <a:xfrm>
          <a:off x="1012825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59" name="Line 59">
          <a:extLst>
            <a:ext uri="{FF2B5EF4-FFF2-40B4-BE49-F238E27FC236}">
              <a16:creationId xmlns:a16="http://schemas.microsoft.com/office/drawing/2014/main" id="{00000000-0008-0000-0300-00003B000000}"/>
            </a:ext>
          </a:extLst>
        </xdr:cNvPr>
        <xdr:cNvSpPr>
          <a:spLocks noChangeShapeType="1"/>
        </xdr:cNvSpPr>
      </xdr:nvSpPr>
      <xdr:spPr bwMode="auto">
        <a:xfrm>
          <a:off x="10375900"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60" name="Line 60">
          <a:extLst>
            <a:ext uri="{FF2B5EF4-FFF2-40B4-BE49-F238E27FC236}">
              <a16:creationId xmlns:a16="http://schemas.microsoft.com/office/drawing/2014/main" id="{00000000-0008-0000-0300-00003C000000}"/>
            </a:ext>
          </a:extLst>
        </xdr:cNvPr>
        <xdr:cNvSpPr>
          <a:spLocks noChangeShapeType="1"/>
        </xdr:cNvSpPr>
      </xdr:nvSpPr>
      <xdr:spPr bwMode="auto">
        <a:xfrm>
          <a:off x="34480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1" name="Line 61">
          <a:extLst>
            <a:ext uri="{FF2B5EF4-FFF2-40B4-BE49-F238E27FC236}">
              <a16:creationId xmlns:a16="http://schemas.microsoft.com/office/drawing/2014/main" id="{00000000-0008-0000-0300-00003D000000}"/>
            </a:ext>
          </a:extLst>
        </xdr:cNvPr>
        <xdr:cNvSpPr>
          <a:spLocks noChangeShapeType="1"/>
        </xdr:cNvSpPr>
      </xdr:nvSpPr>
      <xdr:spPr bwMode="auto">
        <a:xfrm>
          <a:off x="9328150"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62" name="Line 62">
          <a:extLst>
            <a:ext uri="{FF2B5EF4-FFF2-40B4-BE49-F238E27FC236}">
              <a16:creationId xmlns:a16="http://schemas.microsoft.com/office/drawing/2014/main" id="{00000000-0008-0000-0300-00003E000000}"/>
            </a:ext>
          </a:extLst>
        </xdr:cNvPr>
        <xdr:cNvSpPr>
          <a:spLocks noChangeShapeType="1"/>
        </xdr:cNvSpPr>
      </xdr:nvSpPr>
      <xdr:spPr bwMode="auto">
        <a:xfrm>
          <a:off x="9566275"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63" name="Line 63">
          <a:extLst>
            <a:ext uri="{FF2B5EF4-FFF2-40B4-BE49-F238E27FC236}">
              <a16:creationId xmlns:a16="http://schemas.microsoft.com/office/drawing/2014/main" id="{00000000-0008-0000-0300-00003F000000}"/>
            </a:ext>
          </a:extLst>
        </xdr:cNvPr>
        <xdr:cNvSpPr>
          <a:spLocks noChangeShapeType="1"/>
        </xdr:cNvSpPr>
      </xdr:nvSpPr>
      <xdr:spPr bwMode="auto">
        <a:xfrm>
          <a:off x="112395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64" name="Line 64">
          <a:extLst>
            <a:ext uri="{FF2B5EF4-FFF2-40B4-BE49-F238E27FC236}">
              <a16:creationId xmlns:a16="http://schemas.microsoft.com/office/drawing/2014/main" id="{00000000-0008-0000-0300-000040000000}"/>
            </a:ext>
          </a:extLst>
        </xdr:cNvPr>
        <xdr:cNvSpPr>
          <a:spLocks noChangeShapeType="1"/>
        </xdr:cNvSpPr>
      </xdr:nvSpPr>
      <xdr:spPr bwMode="auto">
        <a:xfrm>
          <a:off x="1012825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65" name="Line 65">
          <a:extLst>
            <a:ext uri="{FF2B5EF4-FFF2-40B4-BE49-F238E27FC236}">
              <a16:creationId xmlns:a16="http://schemas.microsoft.com/office/drawing/2014/main" id="{00000000-0008-0000-0300-000041000000}"/>
            </a:ext>
          </a:extLst>
        </xdr:cNvPr>
        <xdr:cNvSpPr>
          <a:spLocks noChangeShapeType="1"/>
        </xdr:cNvSpPr>
      </xdr:nvSpPr>
      <xdr:spPr bwMode="auto">
        <a:xfrm>
          <a:off x="1037590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66" name="Line 66">
          <a:extLst>
            <a:ext uri="{FF2B5EF4-FFF2-40B4-BE49-F238E27FC236}">
              <a16:creationId xmlns:a16="http://schemas.microsoft.com/office/drawing/2014/main" id="{00000000-0008-0000-0300-000042000000}"/>
            </a:ext>
          </a:extLst>
        </xdr:cNvPr>
        <xdr:cNvSpPr>
          <a:spLocks noChangeShapeType="1"/>
        </xdr:cNvSpPr>
      </xdr:nvSpPr>
      <xdr:spPr bwMode="auto">
        <a:xfrm>
          <a:off x="1069340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7" name="Line 67">
          <a:extLst>
            <a:ext uri="{FF2B5EF4-FFF2-40B4-BE49-F238E27FC236}">
              <a16:creationId xmlns:a16="http://schemas.microsoft.com/office/drawing/2014/main" id="{00000000-0008-0000-0300-000043000000}"/>
            </a:ext>
          </a:extLst>
        </xdr:cNvPr>
        <xdr:cNvSpPr>
          <a:spLocks noChangeShapeType="1"/>
        </xdr:cNvSpPr>
      </xdr:nvSpPr>
      <xdr:spPr bwMode="auto">
        <a:xfrm>
          <a:off x="93281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8" name="Line 68">
          <a:extLst>
            <a:ext uri="{FF2B5EF4-FFF2-40B4-BE49-F238E27FC236}">
              <a16:creationId xmlns:a16="http://schemas.microsoft.com/office/drawing/2014/main" id="{00000000-0008-0000-0300-000044000000}"/>
            </a:ext>
          </a:extLst>
        </xdr:cNvPr>
        <xdr:cNvSpPr>
          <a:spLocks noChangeShapeType="1"/>
        </xdr:cNvSpPr>
      </xdr:nvSpPr>
      <xdr:spPr bwMode="auto">
        <a:xfrm>
          <a:off x="9328150"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69" name="Line 69">
          <a:extLst>
            <a:ext uri="{FF2B5EF4-FFF2-40B4-BE49-F238E27FC236}">
              <a16:creationId xmlns:a16="http://schemas.microsoft.com/office/drawing/2014/main" id="{00000000-0008-0000-0300-000045000000}"/>
            </a:ext>
          </a:extLst>
        </xdr:cNvPr>
        <xdr:cNvSpPr>
          <a:spLocks noChangeShapeType="1"/>
        </xdr:cNvSpPr>
      </xdr:nvSpPr>
      <xdr:spPr bwMode="auto">
        <a:xfrm flipV="1">
          <a:off x="104775" y="955675"/>
          <a:ext cx="41275" cy="1047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70" name="Line 70">
          <a:extLst>
            <a:ext uri="{FF2B5EF4-FFF2-40B4-BE49-F238E27FC236}">
              <a16:creationId xmlns:a16="http://schemas.microsoft.com/office/drawing/2014/main" id="{00000000-0008-0000-0300-000046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1" name="Line 71">
          <a:extLst>
            <a:ext uri="{FF2B5EF4-FFF2-40B4-BE49-F238E27FC236}">
              <a16:creationId xmlns:a16="http://schemas.microsoft.com/office/drawing/2014/main" id="{00000000-0008-0000-0300-000047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00000000-0008-0000-0300-000048000000}"/>
            </a:ext>
          </a:extLst>
        </xdr:cNvPr>
        <xdr:cNvSpPr>
          <a:spLocks noChangeShapeType="1"/>
        </xdr:cNvSpPr>
      </xdr:nvSpPr>
      <xdr:spPr bwMode="auto">
        <a:xfrm flipH="1">
          <a:off x="9525" y="2476500"/>
          <a:ext cx="1270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6</xdr:col>
      <xdr:colOff>0</xdr:colOff>
      <xdr:row>6</xdr:row>
      <xdr:rowOff>0</xdr:rowOff>
    </xdr:to>
    <xdr:sp macro="" textlink="">
      <xdr:nvSpPr>
        <xdr:cNvPr id="74" name="Line 74">
          <a:extLst>
            <a:ext uri="{FF2B5EF4-FFF2-40B4-BE49-F238E27FC236}">
              <a16:creationId xmlns:a16="http://schemas.microsoft.com/office/drawing/2014/main" id="{00000000-0008-0000-0300-00004A000000}"/>
            </a:ext>
          </a:extLst>
        </xdr:cNvPr>
        <xdr:cNvSpPr>
          <a:spLocks noChangeShapeType="1"/>
        </xdr:cNvSpPr>
      </xdr:nvSpPr>
      <xdr:spPr bwMode="auto">
        <a:xfrm>
          <a:off x="9525" y="2476500"/>
          <a:ext cx="1171575" cy="0"/>
        </a:xfrm>
        <a:prstGeom prst="line">
          <a:avLst/>
        </a:prstGeom>
        <a:noFill/>
        <a:ln w="9525">
          <a:solidFill>
            <a:srgbClr val="000000"/>
          </a:solidFill>
          <a:round/>
          <a:headEnd/>
          <a:tailEnd/>
        </a:ln>
      </xdr:spPr>
    </xdr:sp>
    <xdr:clientData/>
  </xdr:twoCellAnchor>
  <xdr:twoCellAnchor>
    <xdr:from>
      <xdr:col>0</xdr:col>
      <xdr:colOff>0</xdr:colOff>
      <xdr:row>0</xdr:row>
      <xdr:rowOff>40822</xdr:rowOff>
    </xdr:from>
    <xdr:to>
      <xdr:col>0</xdr:col>
      <xdr:colOff>13606</xdr:colOff>
      <xdr:row>35</xdr:row>
      <xdr:rowOff>190500</xdr:rowOff>
    </xdr:to>
    <xdr:sp macro="" textlink="">
      <xdr:nvSpPr>
        <xdr:cNvPr id="75" name="Line 75">
          <a:extLst>
            <a:ext uri="{FF2B5EF4-FFF2-40B4-BE49-F238E27FC236}">
              <a16:creationId xmlns:a16="http://schemas.microsoft.com/office/drawing/2014/main" id="{00000000-0008-0000-0300-00004B000000}"/>
            </a:ext>
          </a:extLst>
        </xdr:cNvPr>
        <xdr:cNvSpPr>
          <a:spLocks noChangeShapeType="1"/>
        </xdr:cNvSpPr>
      </xdr:nvSpPr>
      <xdr:spPr bwMode="auto">
        <a:xfrm flipH="1">
          <a:off x="0" y="40822"/>
          <a:ext cx="13606" cy="12123964"/>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36</xdr:row>
      <xdr:rowOff>27213</xdr:rowOff>
    </xdr:to>
    <xdr:sp macro="" textlink="">
      <xdr:nvSpPr>
        <xdr:cNvPr id="76" name="Line 76">
          <a:extLst>
            <a:ext uri="{FF2B5EF4-FFF2-40B4-BE49-F238E27FC236}">
              <a16:creationId xmlns:a16="http://schemas.microsoft.com/office/drawing/2014/main" id="{00000000-0008-0000-0300-00004C000000}"/>
            </a:ext>
          </a:extLst>
        </xdr:cNvPr>
        <xdr:cNvSpPr>
          <a:spLocks noChangeShapeType="1"/>
        </xdr:cNvSpPr>
      </xdr:nvSpPr>
      <xdr:spPr bwMode="auto">
        <a:xfrm>
          <a:off x="353786" y="0"/>
          <a:ext cx="0" cy="1194707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57150</xdr:rowOff>
        </xdr:from>
        <xdr:to>
          <xdr:col>0</xdr:col>
          <xdr:colOff>0</xdr:colOff>
          <xdr:row>36</xdr:row>
          <xdr:rowOff>104775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209550</xdr:rowOff>
        </xdr:from>
        <xdr:to>
          <xdr:col>8</xdr:col>
          <xdr:colOff>1619250</xdr:colOff>
          <xdr:row>0</xdr:row>
          <xdr:rowOff>342900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1409700</xdr:colOff>
          <xdr:row>1</xdr:row>
          <xdr:rowOff>19050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1200150</xdr:colOff>
          <xdr:row>0</xdr:row>
          <xdr:rowOff>361950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361950</xdr:rowOff>
        </xdr:from>
        <xdr:to>
          <xdr:col>9</xdr:col>
          <xdr:colOff>1428750</xdr:colOff>
          <xdr:row>1</xdr:row>
          <xdr:rowOff>19050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twoCellAnchor>
    <xdr:from>
      <xdr:col>1</xdr:col>
      <xdr:colOff>9525</xdr:colOff>
      <xdr:row>6</xdr:row>
      <xdr:rowOff>0</xdr:rowOff>
    </xdr:from>
    <xdr:to>
      <xdr:col>6</xdr:col>
      <xdr:colOff>0</xdr:colOff>
      <xdr:row>6</xdr:row>
      <xdr:rowOff>0</xdr:rowOff>
    </xdr:to>
    <xdr:sp macro="" textlink="">
      <xdr:nvSpPr>
        <xdr:cNvPr id="77" name="Line 70">
          <a:extLst>
            <a:ext uri="{FF2B5EF4-FFF2-40B4-BE49-F238E27FC236}">
              <a16:creationId xmlns:a16="http://schemas.microsoft.com/office/drawing/2014/main" id="{00000000-0008-0000-0300-00004D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8" name="Line 71">
          <a:extLst>
            <a:ext uri="{FF2B5EF4-FFF2-40B4-BE49-F238E27FC236}">
              <a16:creationId xmlns:a16="http://schemas.microsoft.com/office/drawing/2014/main" id="{00000000-0008-0000-0300-00004E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flipV="1">
          <a:off x="1460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3" name="Line 2">
          <a:extLst>
            <a:ext uri="{FF2B5EF4-FFF2-40B4-BE49-F238E27FC236}">
              <a16:creationId xmlns:a16="http://schemas.microsoft.com/office/drawing/2014/main" id="{00000000-0008-0000-0400-000003000000}"/>
            </a:ext>
          </a:extLst>
        </xdr:cNvPr>
        <xdr:cNvSpPr>
          <a:spLocks noChangeShapeType="1"/>
        </xdr:cNvSpPr>
      </xdr:nvSpPr>
      <xdr:spPr bwMode="auto">
        <a:xfrm>
          <a:off x="136525" y="0"/>
          <a:ext cx="104457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4" name="Line 3">
          <a:extLst>
            <a:ext uri="{FF2B5EF4-FFF2-40B4-BE49-F238E27FC236}">
              <a16:creationId xmlns:a16="http://schemas.microsoft.com/office/drawing/2014/main" id="{00000000-0008-0000-0400-000004000000}"/>
            </a:ext>
          </a:extLst>
        </xdr:cNvPr>
        <xdr:cNvSpPr>
          <a:spLocks noChangeShapeType="1"/>
        </xdr:cNvSpPr>
      </xdr:nvSpPr>
      <xdr:spPr bwMode="auto">
        <a:xfrm>
          <a:off x="127000" y="0"/>
          <a:ext cx="10541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 name="Line 4">
          <a:extLst>
            <a:ext uri="{FF2B5EF4-FFF2-40B4-BE49-F238E27FC236}">
              <a16:creationId xmlns:a16="http://schemas.microsoft.com/office/drawing/2014/main" id="{00000000-0008-0000-0400-000005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00000000-0008-0000-0400-000006000000}"/>
            </a:ext>
          </a:extLst>
        </xdr:cNvPr>
        <xdr:cNvSpPr>
          <a:spLocks noChangeShapeType="1"/>
        </xdr:cNvSpPr>
      </xdr:nvSpPr>
      <xdr:spPr bwMode="auto">
        <a:xfrm flipH="1">
          <a:off x="9525" y="0"/>
          <a:ext cx="1270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7" name="Line 6">
          <a:extLst>
            <a:ext uri="{FF2B5EF4-FFF2-40B4-BE49-F238E27FC236}">
              <a16:creationId xmlns:a16="http://schemas.microsoft.com/office/drawing/2014/main" id="{00000000-0008-0000-0400-000007000000}"/>
            </a:ext>
          </a:extLst>
        </xdr:cNvPr>
        <xdr:cNvSpPr>
          <a:spLocks noChangeShapeType="1"/>
        </xdr:cNvSpPr>
      </xdr:nvSpPr>
      <xdr:spPr bwMode="auto">
        <a:xfrm flipH="1">
          <a:off x="118110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8" name="Line 7">
          <a:extLst>
            <a:ext uri="{FF2B5EF4-FFF2-40B4-BE49-F238E27FC236}">
              <a16:creationId xmlns:a16="http://schemas.microsoft.com/office/drawing/2014/main" id="{00000000-0008-0000-0400-000008000000}"/>
            </a:ext>
          </a:extLst>
        </xdr:cNvPr>
        <xdr:cNvSpPr>
          <a:spLocks noChangeShapeType="1"/>
        </xdr:cNvSpPr>
      </xdr:nvSpPr>
      <xdr:spPr bwMode="auto">
        <a:xfrm flipV="1">
          <a:off x="118110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00000000-0008-0000-0400-000009000000}"/>
            </a:ext>
          </a:extLst>
        </xdr:cNvPr>
        <xdr:cNvSpPr>
          <a:spLocks noChangeShapeType="1"/>
        </xdr:cNvSpPr>
      </xdr:nvSpPr>
      <xdr:spPr bwMode="auto">
        <a:xfrm>
          <a:off x="1270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 name="Line 9">
          <a:extLst>
            <a:ext uri="{FF2B5EF4-FFF2-40B4-BE49-F238E27FC236}">
              <a16:creationId xmlns:a16="http://schemas.microsoft.com/office/drawing/2014/main" id="{00000000-0008-0000-0400-00000A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1" name="Line 10">
          <a:extLst>
            <a:ext uri="{FF2B5EF4-FFF2-40B4-BE49-F238E27FC236}">
              <a16:creationId xmlns:a16="http://schemas.microsoft.com/office/drawing/2014/main" id="{00000000-0008-0000-0400-00000B000000}"/>
            </a:ext>
          </a:extLst>
        </xdr:cNvPr>
        <xdr:cNvSpPr>
          <a:spLocks noChangeShapeType="1"/>
        </xdr:cNvSpPr>
      </xdr:nvSpPr>
      <xdr:spPr bwMode="auto">
        <a:xfrm>
          <a:off x="0" y="0"/>
          <a:ext cx="122967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2" name="Line 11">
          <a:extLst>
            <a:ext uri="{FF2B5EF4-FFF2-40B4-BE49-F238E27FC236}">
              <a16:creationId xmlns:a16="http://schemas.microsoft.com/office/drawing/2014/main" id="{00000000-0008-0000-0400-00000C000000}"/>
            </a:ext>
          </a:extLst>
        </xdr:cNvPr>
        <xdr:cNvSpPr>
          <a:spLocks noChangeShapeType="1"/>
        </xdr:cNvSpPr>
      </xdr:nvSpPr>
      <xdr:spPr bwMode="auto">
        <a:xfrm flipH="1">
          <a:off x="19050" y="0"/>
          <a:ext cx="155511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3" name="Line 12">
          <a:extLst>
            <a:ext uri="{FF2B5EF4-FFF2-40B4-BE49-F238E27FC236}">
              <a16:creationId xmlns:a16="http://schemas.microsoft.com/office/drawing/2014/main" id="{00000000-0008-0000-0400-00000D000000}"/>
            </a:ext>
          </a:extLst>
        </xdr:cNvPr>
        <xdr:cNvSpPr>
          <a:spLocks noChangeShapeType="1"/>
        </xdr:cNvSpPr>
      </xdr:nvSpPr>
      <xdr:spPr bwMode="auto">
        <a:xfrm>
          <a:off x="9525" y="0"/>
          <a:ext cx="117157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4" name="Line 13">
          <a:extLst>
            <a:ext uri="{FF2B5EF4-FFF2-40B4-BE49-F238E27FC236}">
              <a16:creationId xmlns:a16="http://schemas.microsoft.com/office/drawing/2014/main" id="{00000000-0008-0000-0400-00000E000000}"/>
            </a:ext>
          </a:extLst>
        </xdr:cNvPr>
        <xdr:cNvSpPr>
          <a:spLocks noChangeShapeType="1"/>
        </xdr:cNvSpPr>
      </xdr:nvSpPr>
      <xdr:spPr bwMode="auto">
        <a:xfrm flipH="1"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00000000-0008-0000-0400-00000F00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6" name="Line 15">
          <a:extLst>
            <a:ext uri="{FF2B5EF4-FFF2-40B4-BE49-F238E27FC236}">
              <a16:creationId xmlns:a16="http://schemas.microsoft.com/office/drawing/2014/main" id="{00000000-0008-0000-0400-000010000000}"/>
            </a:ext>
          </a:extLst>
        </xdr:cNvPr>
        <xdr:cNvSpPr>
          <a:spLocks noChangeShapeType="1"/>
        </xdr:cNvSpPr>
      </xdr:nvSpPr>
      <xdr:spPr bwMode="auto">
        <a:xfrm>
          <a:off x="0" y="0"/>
          <a:ext cx="1557020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7" name="Line 16">
          <a:extLst>
            <a:ext uri="{FF2B5EF4-FFF2-40B4-BE49-F238E27FC236}">
              <a16:creationId xmlns:a16="http://schemas.microsoft.com/office/drawing/2014/main" id="{00000000-0008-0000-0400-000011000000}"/>
            </a:ext>
          </a:extLst>
        </xdr:cNvPr>
        <xdr:cNvSpPr>
          <a:spLocks noChangeShapeType="1"/>
        </xdr:cNvSpPr>
      </xdr:nvSpPr>
      <xdr:spPr bwMode="auto">
        <a:xfrm flipH="1" flipV="1">
          <a:off x="155702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8" name="Line 17">
          <a:extLst>
            <a:ext uri="{FF2B5EF4-FFF2-40B4-BE49-F238E27FC236}">
              <a16:creationId xmlns:a16="http://schemas.microsoft.com/office/drawing/2014/main" id="{00000000-0008-0000-0400-000012000000}"/>
            </a:ext>
          </a:extLst>
        </xdr:cNvPr>
        <xdr:cNvSpPr>
          <a:spLocks noChangeShapeType="1"/>
        </xdr:cNvSpPr>
      </xdr:nvSpPr>
      <xdr:spPr bwMode="auto">
        <a:xfrm flipH="1" flipV="1">
          <a:off x="0" y="0"/>
          <a:ext cx="152082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00000000-0008-0000-0400-00001300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20" name="Line 19">
          <a:extLst>
            <a:ext uri="{FF2B5EF4-FFF2-40B4-BE49-F238E27FC236}">
              <a16:creationId xmlns:a16="http://schemas.microsoft.com/office/drawing/2014/main" id="{00000000-0008-0000-0400-000014000000}"/>
            </a:ext>
          </a:extLst>
        </xdr:cNvPr>
        <xdr:cNvSpPr>
          <a:spLocks noChangeShapeType="1"/>
        </xdr:cNvSpPr>
      </xdr:nvSpPr>
      <xdr:spPr bwMode="auto">
        <a:xfrm>
          <a:off x="1200150" y="0"/>
          <a:ext cx="11264900"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21" name="Line 20">
          <a:extLst>
            <a:ext uri="{FF2B5EF4-FFF2-40B4-BE49-F238E27FC236}">
              <a16:creationId xmlns:a16="http://schemas.microsoft.com/office/drawing/2014/main" id="{00000000-0008-0000-0400-000015000000}"/>
            </a:ext>
          </a:extLst>
        </xdr:cNvPr>
        <xdr:cNvSpPr>
          <a:spLocks noChangeShapeType="1"/>
        </xdr:cNvSpPr>
      </xdr:nvSpPr>
      <xdr:spPr bwMode="auto">
        <a:xfrm>
          <a:off x="984250" y="0"/>
          <a:ext cx="141795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22" name="Line 21">
          <a:extLst>
            <a:ext uri="{FF2B5EF4-FFF2-40B4-BE49-F238E27FC236}">
              <a16:creationId xmlns:a16="http://schemas.microsoft.com/office/drawing/2014/main" id="{00000000-0008-0000-0400-000016000000}"/>
            </a:ext>
          </a:extLst>
        </xdr:cNvPr>
        <xdr:cNvSpPr>
          <a:spLocks noChangeShapeType="1"/>
        </xdr:cNvSpPr>
      </xdr:nvSpPr>
      <xdr:spPr bwMode="auto">
        <a:xfrm>
          <a:off x="19050" y="0"/>
          <a:ext cx="14258925"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23" name="Line 22">
          <a:extLst>
            <a:ext uri="{FF2B5EF4-FFF2-40B4-BE49-F238E27FC236}">
              <a16:creationId xmlns:a16="http://schemas.microsoft.com/office/drawing/2014/main" id="{00000000-0008-0000-0400-000017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24" name="Line 23">
          <a:extLst>
            <a:ext uri="{FF2B5EF4-FFF2-40B4-BE49-F238E27FC236}">
              <a16:creationId xmlns:a16="http://schemas.microsoft.com/office/drawing/2014/main" id="{00000000-0008-0000-0400-000018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5" name="Line 24">
          <a:extLst>
            <a:ext uri="{FF2B5EF4-FFF2-40B4-BE49-F238E27FC236}">
              <a16:creationId xmlns:a16="http://schemas.microsoft.com/office/drawing/2014/main" id="{00000000-0008-0000-0400-000019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26" name="Line 25">
          <a:extLst>
            <a:ext uri="{FF2B5EF4-FFF2-40B4-BE49-F238E27FC236}">
              <a16:creationId xmlns:a16="http://schemas.microsoft.com/office/drawing/2014/main" id="{00000000-0008-0000-0400-00001A000000}"/>
            </a:ext>
          </a:extLst>
        </xdr:cNvPr>
        <xdr:cNvSpPr>
          <a:spLocks noChangeShapeType="1"/>
        </xdr:cNvSpPr>
      </xdr:nvSpPr>
      <xdr:spPr bwMode="auto">
        <a:xfrm>
          <a:off x="12372975"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27" name="Line 26">
          <a:extLst>
            <a:ext uri="{FF2B5EF4-FFF2-40B4-BE49-F238E27FC236}">
              <a16:creationId xmlns:a16="http://schemas.microsoft.com/office/drawing/2014/main" id="{00000000-0008-0000-0400-00001B000000}"/>
            </a:ext>
          </a:extLst>
        </xdr:cNvPr>
        <xdr:cNvSpPr>
          <a:spLocks noChangeShapeType="1"/>
        </xdr:cNvSpPr>
      </xdr:nvSpPr>
      <xdr:spPr bwMode="auto">
        <a:xfrm>
          <a:off x="12201525" y="0"/>
          <a:ext cx="2971800"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28" name="Line 27">
          <a:extLst>
            <a:ext uri="{FF2B5EF4-FFF2-40B4-BE49-F238E27FC236}">
              <a16:creationId xmlns:a16="http://schemas.microsoft.com/office/drawing/2014/main" id="{00000000-0008-0000-0400-00001C000000}"/>
            </a:ext>
          </a:extLst>
        </xdr:cNvPr>
        <xdr:cNvSpPr>
          <a:spLocks noChangeShapeType="1"/>
        </xdr:cNvSpPr>
      </xdr:nvSpPr>
      <xdr:spPr bwMode="auto">
        <a:xfrm>
          <a:off x="11055350" y="0"/>
          <a:ext cx="140970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29" name="Line 28">
          <a:extLst>
            <a:ext uri="{FF2B5EF4-FFF2-40B4-BE49-F238E27FC236}">
              <a16:creationId xmlns:a16="http://schemas.microsoft.com/office/drawing/2014/main" id="{00000000-0008-0000-0400-00001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30" name="Line 29">
          <a:extLst>
            <a:ext uri="{FF2B5EF4-FFF2-40B4-BE49-F238E27FC236}">
              <a16:creationId xmlns:a16="http://schemas.microsoft.com/office/drawing/2014/main" id="{00000000-0008-0000-0400-00001E000000}"/>
            </a:ext>
          </a:extLst>
        </xdr:cNvPr>
        <xdr:cNvSpPr>
          <a:spLocks noChangeShapeType="1"/>
        </xdr:cNvSpPr>
      </xdr:nvSpPr>
      <xdr:spPr bwMode="auto">
        <a:xfrm>
          <a:off x="11312525"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31" name="Line 30">
          <a:extLst>
            <a:ext uri="{FF2B5EF4-FFF2-40B4-BE49-F238E27FC236}">
              <a16:creationId xmlns:a16="http://schemas.microsoft.com/office/drawing/2014/main" id="{00000000-0008-0000-0400-00001F000000}"/>
            </a:ext>
          </a:extLst>
        </xdr:cNvPr>
        <xdr:cNvSpPr>
          <a:spLocks noChangeShapeType="1"/>
        </xdr:cNvSpPr>
      </xdr:nvSpPr>
      <xdr:spPr bwMode="auto">
        <a:xfrm>
          <a:off x="14268450" y="0"/>
          <a:ext cx="1301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32" name="Line 31">
          <a:extLst>
            <a:ext uri="{FF2B5EF4-FFF2-40B4-BE49-F238E27FC236}">
              <a16:creationId xmlns:a16="http://schemas.microsoft.com/office/drawing/2014/main" id="{00000000-0008-0000-0400-000020000000}"/>
            </a:ext>
          </a:extLst>
        </xdr:cNvPr>
        <xdr:cNvSpPr>
          <a:spLocks noChangeShapeType="1"/>
        </xdr:cNvSpPr>
      </xdr:nvSpPr>
      <xdr:spPr bwMode="auto">
        <a:xfrm>
          <a:off x="1213485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3" name="Line 32">
          <a:extLst>
            <a:ext uri="{FF2B5EF4-FFF2-40B4-BE49-F238E27FC236}">
              <a16:creationId xmlns:a16="http://schemas.microsoft.com/office/drawing/2014/main" id="{00000000-0008-0000-0400-000021000000}"/>
            </a:ext>
          </a:extLst>
        </xdr:cNvPr>
        <xdr:cNvSpPr>
          <a:spLocks noChangeShapeType="1"/>
        </xdr:cNvSpPr>
      </xdr:nvSpPr>
      <xdr:spPr bwMode="auto">
        <a:xfrm>
          <a:off x="12134850" y="0"/>
          <a:ext cx="34353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4" name="Line 33">
          <a:extLst>
            <a:ext uri="{FF2B5EF4-FFF2-40B4-BE49-F238E27FC236}">
              <a16:creationId xmlns:a16="http://schemas.microsoft.com/office/drawing/2014/main" id="{00000000-0008-0000-0400-000022000000}"/>
            </a:ext>
          </a:extLst>
        </xdr:cNvPr>
        <xdr:cNvSpPr>
          <a:spLocks noChangeShapeType="1"/>
        </xdr:cNvSpPr>
      </xdr:nvSpPr>
      <xdr:spPr bwMode="auto">
        <a:xfrm>
          <a:off x="12134850" y="0"/>
          <a:ext cx="34353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5" name="Line 34">
          <a:extLst>
            <a:ext uri="{FF2B5EF4-FFF2-40B4-BE49-F238E27FC236}">
              <a16:creationId xmlns:a16="http://schemas.microsoft.com/office/drawing/2014/main" id="{00000000-0008-0000-0400-000023000000}"/>
            </a:ext>
          </a:extLst>
        </xdr:cNvPr>
        <xdr:cNvSpPr>
          <a:spLocks noChangeShapeType="1"/>
        </xdr:cNvSpPr>
      </xdr:nvSpPr>
      <xdr:spPr bwMode="auto">
        <a:xfrm>
          <a:off x="12134850" y="0"/>
          <a:ext cx="34353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6" name="Line 35">
          <a:extLst>
            <a:ext uri="{FF2B5EF4-FFF2-40B4-BE49-F238E27FC236}">
              <a16:creationId xmlns:a16="http://schemas.microsoft.com/office/drawing/2014/main" id="{00000000-0008-0000-0400-000024000000}"/>
            </a:ext>
          </a:extLst>
        </xdr:cNvPr>
        <xdr:cNvSpPr>
          <a:spLocks noChangeShapeType="1"/>
        </xdr:cNvSpPr>
      </xdr:nvSpPr>
      <xdr:spPr bwMode="auto">
        <a:xfrm>
          <a:off x="12134850" y="0"/>
          <a:ext cx="3435350"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37" name="Line 36">
          <a:extLst>
            <a:ext uri="{FF2B5EF4-FFF2-40B4-BE49-F238E27FC236}">
              <a16:creationId xmlns:a16="http://schemas.microsoft.com/office/drawing/2014/main" id="{00000000-0008-0000-0400-000025000000}"/>
            </a:ext>
          </a:extLst>
        </xdr:cNvPr>
        <xdr:cNvSpPr>
          <a:spLocks noChangeShapeType="1"/>
        </xdr:cNvSpPr>
      </xdr:nvSpPr>
      <xdr:spPr bwMode="auto">
        <a:xfrm>
          <a:off x="12144375" y="0"/>
          <a:ext cx="3425825"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38" name="Line 37">
          <a:extLst>
            <a:ext uri="{FF2B5EF4-FFF2-40B4-BE49-F238E27FC236}">
              <a16:creationId xmlns:a16="http://schemas.microsoft.com/office/drawing/2014/main" id="{00000000-0008-0000-0400-000026000000}"/>
            </a:ext>
          </a:extLst>
        </xdr:cNvPr>
        <xdr:cNvSpPr>
          <a:spLocks noChangeShapeType="1"/>
        </xdr:cNvSpPr>
      </xdr:nvSpPr>
      <xdr:spPr bwMode="auto">
        <a:xfrm>
          <a:off x="1272222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39" name="Line 38">
          <a:extLst>
            <a:ext uri="{FF2B5EF4-FFF2-40B4-BE49-F238E27FC236}">
              <a16:creationId xmlns:a16="http://schemas.microsoft.com/office/drawing/2014/main" id="{00000000-0008-0000-0400-000027000000}"/>
            </a:ext>
          </a:extLst>
        </xdr:cNvPr>
        <xdr:cNvSpPr>
          <a:spLocks noChangeShapeType="1"/>
        </xdr:cNvSpPr>
      </xdr:nvSpPr>
      <xdr:spPr bwMode="auto">
        <a:xfrm flipH="1">
          <a:off x="14668500"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0" name="Line 39">
          <a:extLst>
            <a:ext uri="{FF2B5EF4-FFF2-40B4-BE49-F238E27FC236}">
              <a16:creationId xmlns:a16="http://schemas.microsoft.com/office/drawing/2014/main" id="{00000000-0008-0000-0400-000028000000}"/>
            </a:ext>
          </a:extLst>
        </xdr:cNvPr>
        <xdr:cNvSpPr>
          <a:spLocks noChangeShapeType="1"/>
        </xdr:cNvSpPr>
      </xdr:nvSpPr>
      <xdr:spPr bwMode="auto">
        <a:xfrm flipV="1">
          <a:off x="1466850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1" name="Line 40">
          <a:extLst>
            <a:ext uri="{FF2B5EF4-FFF2-40B4-BE49-F238E27FC236}">
              <a16:creationId xmlns:a16="http://schemas.microsoft.com/office/drawing/2014/main" id="{00000000-0008-0000-0400-000029000000}"/>
            </a:ext>
          </a:extLst>
        </xdr:cNvPr>
        <xdr:cNvSpPr>
          <a:spLocks noChangeShapeType="1"/>
        </xdr:cNvSpPr>
      </xdr:nvSpPr>
      <xdr:spPr bwMode="auto">
        <a:xfrm>
          <a:off x="14668500"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42" name="Line 41">
          <a:extLst>
            <a:ext uri="{FF2B5EF4-FFF2-40B4-BE49-F238E27FC236}">
              <a16:creationId xmlns:a16="http://schemas.microsoft.com/office/drawing/2014/main" id="{00000000-0008-0000-0400-00002A000000}"/>
            </a:ext>
          </a:extLst>
        </xdr:cNvPr>
        <xdr:cNvSpPr>
          <a:spLocks noChangeShapeType="1"/>
        </xdr:cNvSpPr>
      </xdr:nvSpPr>
      <xdr:spPr bwMode="auto">
        <a:xfrm>
          <a:off x="13277850"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43" name="Line 42">
          <a:extLst>
            <a:ext uri="{FF2B5EF4-FFF2-40B4-BE49-F238E27FC236}">
              <a16:creationId xmlns:a16="http://schemas.microsoft.com/office/drawing/2014/main" id="{00000000-0008-0000-0400-00002B000000}"/>
            </a:ext>
          </a:extLst>
        </xdr:cNvPr>
        <xdr:cNvSpPr>
          <a:spLocks noChangeShapeType="1"/>
        </xdr:cNvSpPr>
      </xdr:nvSpPr>
      <xdr:spPr bwMode="auto">
        <a:xfrm>
          <a:off x="15116175"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44" name="Line 43">
          <a:extLst>
            <a:ext uri="{FF2B5EF4-FFF2-40B4-BE49-F238E27FC236}">
              <a16:creationId xmlns:a16="http://schemas.microsoft.com/office/drawing/2014/main" id="{00000000-0008-0000-0400-00002C000000}"/>
            </a:ext>
          </a:extLst>
        </xdr:cNvPr>
        <xdr:cNvSpPr>
          <a:spLocks noChangeShapeType="1"/>
        </xdr:cNvSpPr>
      </xdr:nvSpPr>
      <xdr:spPr bwMode="auto">
        <a:xfrm>
          <a:off x="6321425" y="0"/>
          <a:ext cx="295275"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45" name="Line 44">
          <a:extLst>
            <a:ext uri="{FF2B5EF4-FFF2-40B4-BE49-F238E27FC236}">
              <a16:creationId xmlns:a16="http://schemas.microsoft.com/office/drawing/2014/main" id="{00000000-0008-0000-0400-00002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46" name="Line 45">
          <a:extLst>
            <a:ext uri="{FF2B5EF4-FFF2-40B4-BE49-F238E27FC236}">
              <a16:creationId xmlns:a16="http://schemas.microsoft.com/office/drawing/2014/main" id="{00000000-0008-0000-0400-00002E000000}"/>
            </a:ext>
          </a:extLst>
        </xdr:cNvPr>
        <xdr:cNvSpPr>
          <a:spLocks noChangeShapeType="1"/>
        </xdr:cNvSpPr>
      </xdr:nvSpPr>
      <xdr:spPr bwMode="auto">
        <a:xfrm>
          <a:off x="10769600" y="0"/>
          <a:ext cx="26670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47" name="Line 46">
          <a:extLst>
            <a:ext uri="{FF2B5EF4-FFF2-40B4-BE49-F238E27FC236}">
              <a16:creationId xmlns:a16="http://schemas.microsoft.com/office/drawing/2014/main" id="{00000000-0008-0000-0400-00002F000000}"/>
            </a:ext>
          </a:extLst>
        </xdr:cNvPr>
        <xdr:cNvSpPr>
          <a:spLocks noChangeShapeType="1"/>
        </xdr:cNvSpPr>
      </xdr:nvSpPr>
      <xdr:spPr bwMode="auto">
        <a:xfrm>
          <a:off x="6321425" y="0"/>
          <a:ext cx="4543425"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48" name="Line 47">
          <a:extLst>
            <a:ext uri="{FF2B5EF4-FFF2-40B4-BE49-F238E27FC236}">
              <a16:creationId xmlns:a16="http://schemas.microsoft.com/office/drawing/2014/main" id="{00000000-0008-0000-0400-000030000000}"/>
            </a:ext>
          </a:extLst>
        </xdr:cNvPr>
        <xdr:cNvSpPr>
          <a:spLocks noChangeShapeType="1"/>
        </xdr:cNvSpPr>
      </xdr:nvSpPr>
      <xdr:spPr bwMode="auto">
        <a:xfrm>
          <a:off x="10798175" y="0"/>
          <a:ext cx="91440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00000000-0008-0000-0400-000031000000}"/>
            </a:ext>
          </a:extLst>
        </xdr:cNvPr>
        <xdr:cNvSpPr>
          <a:spLocks noChangeShapeType="1"/>
        </xdr:cNvSpPr>
      </xdr:nvSpPr>
      <xdr:spPr bwMode="auto">
        <a:xfrm>
          <a:off x="39370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50" name="Line 50">
          <a:extLst>
            <a:ext uri="{FF2B5EF4-FFF2-40B4-BE49-F238E27FC236}">
              <a16:creationId xmlns:a16="http://schemas.microsoft.com/office/drawing/2014/main" id="{00000000-0008-0000-0400-000032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51" name="Line 51">
          <a:extLst>
            <a:ext uri="{FF2B5EF4-FFF2-40B4-BE49-F238E27FC236}">
              <a16:creationId xmlns:a16="http://schemas.microsoft.com/office/drawing/2014/main" id="{00000000-0008-0000-0400-000033000000}"/>
            </a:ext>
          </a:extLst>
        </xdr:cNvPr>
        <xdr:cNvSpPr>
          <a:spLocks noChangeShapeType="1"/>
        </xdr:cNvSpPr>
      </xdr:nvSpPr>
      <xdr:spPr bwMode="auto">
        <a:xfrm>
          <a:off x="1644650" y="0"/>
          <a:ext cx="850900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52" name="Line 52">
          <a:extLst>
            <a:ext uri="{FF2B5EF4-FFF2-40B4-BE49-F238E27FC236}">
              <a16:creationId xmlns:a16="http://schemas.microsoft.com/office/drawing/2014/main" id="{00000000-0008-0000-0400-000034000000}"/>
            </a:ext>
          </a:extLst>
        </xdr:cNvPr>
        <xdr:cNvSpPr>
          <a:spLocks noChangeShapeType="1"/>
        </xdr:cNvSpPr>
      </xdr:nvSpPr>
      <xdr:spPr bwMode="auto">
        <a:xfrm flipH="1">
          <a:off x="5153025"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53" name="Line 53">
          <a:extLst>
            <a:ext uri="{FF2B5EF4-FFF2-40B4-BE49-F238E27FC236}">
              <a16:creationId xmlns:a16="http://schemas.microsoft.com/office/drawing/2014/main" id="{00000000-0008-0000-0400-000035000000}"/>
            </a:ext>
          </a:extLst>
        </xdr:cNvPr>
        <xdr:cNvSpPr>
          <a:spLocks noChangeShapeType="1"/>
        </xdr:cNvSpPr>
      </xdr:nvSpPr>
      <xdr:spPr bwMode="auto">
        <a:xfrm>
          <a:off x="6616700"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54" name="Line 54">
          <a:extLst>
            <a:ext uri="{FF2B5EF4-FFF2-40B4-BE49-F238E27FC236}">
              <a16:creationId xmlns:a16="http://schemas.microsoft.com/office/drawing/2014/main" id="{00000000-0008-0000-0400-000036000000}"/>
            </a:ext>
          </a:extLst>
        </xdr:cNvPr>
        <xdr:cNvSpPr>
          <a:spLocks noChangeShapeType="1"/>
        </xdr:cNvSpPr>
      </xdr:nvSpPr>
      <xdr:spPr bwMode="auto">
        <a:xfrm>
          <a:off x="5172075" y="0"/>
          <a:ext cx="144462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55" name="Line 55">
          <a:extLst>
            <a:ext uri="{FF2B5EF4-FFF2-40B4-BE49-F238E27FC236}">
              <a16:creationId xmlns:a16="http://schemas.microsoft.com/office/drawing/2014/main" id="{00000000-0008-0000-0400-000037000000}"/>
            </a:ext>
          </a:extLst>
        </xdr:cNvPr>
        <xdr:cNvSpPr>
          <a:spLocks noChangeShapeType="1"/>
        </xdr:cNvSpPr>
      </xdr:nvSpPr>
      <xdr:spPr bwMode="auto">
        <a:xfrm>
          <a:off x="575945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6" name="Line 56">
          <a:extLst>
            <a:ext uri="{FF2B5EF4-FFF2-40B4-BE49-F238E27FC236}">
              <a16:creationId xmlns:a16="http://schemas.microsoft.com/office/drawing/2014/main" id="{00000000-0008-0000-0400-000038000000}"/>
            </a:ext>
          </a:extLst>
        </xdr:cNvPr>
        <xdr:cNvSpPr>
          <a:spLocks noChangeShapeType="1"/>
        </xdr:cNvSpPr>
      </xdr:nvSpPr>
      <xdr:spPr bwMode="auto">
        <a:xfrm>
          <a:off x="902335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57" name="Line 57">
          <a:extLst>
            <a:ext uri="{FF2B5EF4-FFF2-40B4-BE49-F238E27FC236}">
              <a16:creationId xmlns:a16="http://schemas.microsoft.com/office/drawing/2014/main" id="{00000000-0008-0000-0400-000039000000}"/>
            </a:ext>
          </a:extLst>
        </xdr:cNvPr>
        <xdr:cNvSpPr>
          <a:spLocks noChangeShapeType="1"/>
        </xdr:cNvSpPr>
      </xdr:nvSpPr>
      <xdr:spPr bwMode="auto">
        <a:xfrm>
          <a:off x="110363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58" name="Line 58">
          <a:extLst>
            <a:ext uri="{FF2B5EF4-FFF2-40B4-BE49-F238E27FC236}">
              <a16:creationId xmlns:a16="http://schemas.microsoft.com/office/drawing/2014/main" id="{00000000-0008-0000-0400-00003A000000}"/>
            </a:ext>
          </a:extLst>
        </xdr:cNvPr>
        <xdr:cNvSpPr>
          <a:spLocks noChangeShapeType="1"/>
        </xdr:cNvSpPr>
      </xdr:nvSpPr>
      <xdr:spPr bwMode="auto">
        <a:xfrm>
          <a:off x="1156970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59" name="Line 59">
          <a:extLst>
            <a:ext uri="{FF2B5EF4-FFF2-40B4-BE49-F238E27FC236}">
              <a16:creationId xmlns:a16="http://schemas.microsoft.com/office/drawing/2014/main" id="{00000000-0008-0000-0400-00003B000000}"/>
            </a:ext>
          </a:extLst>
        </xdr:cNvPr>
        <xdr:cNvSpPr>
          <a:spLocks noChangeShapeType="1"/>
        </xdr:cNvSpPr>
      </xdr:nvSpPr>
      <xdr:spPr bwMode="auto">
        <a:xfrm>
          <a:off x="11817350"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60" name="Line 60">
          <a:extLst>
            <a:ext uri="{FF2B5EF4-FFF2-40B4-BE49-F238E27FC236}">
              <a16:creationId xmlns:a16="http://schemas.microsoft.com/office/drawing/2014/main" id="{00000000-0008-0000-0400-00003C000000}"/>
            </a:ext>
          </a:extLst>
        </xdr:cNvPr>
        <xdr:cNvSpPr>
          <a:spLocks noChangeShapeType="1"/>
        </xdr:cNvSpPr>
      </xdr:nvSpPr>
      <xdr:spPr bwMode="auto">
        <a:xfrm>
          <a:off x="34480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1" name="Line 61">
          <a:extLst>
            <a:ext uri="{FF2B5EF4-FFF2-40B4-BE49-F238E27FC236}">
              <a16:creationId xmlns:a16="http://schemas.microsoft.com/office/drawing/2014/main" id="{00000000-0008-0000-0400-00003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62" name="Line 62">
          <a:extLst>
            <a:ext uri="{FF2B5EF4-FFF2-40B4-BE49-F238E27FC236}">
              <a16:creationId xmlns:a16="http://schemas.microsoft.com/office/drawing/2014/main" id="{00000000-0008-0000-0400-00003E000000}"/>
            </a:ext>
          </a:extLst>
        </xdr:cNvPr>
        <xdr:cNvSpPr>
          <a:spLocks noChangeShapeType="1"/>
        </xdr:cNvSpPr>
      </xdr:nvSpPr>
      <xdr:spPr bwMode="auto">
        <a:xfrm>
          <a:off x="11007725"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63" name="Line 63">
          <a:extLst>
            <a:ext uri="{FF2B5EF4-FFF2-40B4-BE49-F238E27FC236}">
              <a16:creationId xmlns:a16="http://schemas.microsoft.com/office/drawing/2014/main" id="{00000000-0008-0000-0400-00003F000000}"/>
            </a:ext>
          </a:extLst>
        </xdr:cNvPr>
        <xdr:cNvSpPr>
          <a:spLocks noChangeShapeType="1"/>
        </xdr:cNvSpPr>
      </xdr:nvSpPr>
      <xdr:spPr bwMode="auto">
        <a:xfrm>
          <a:off x="127127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64" name="Line 64">
          <a:extLst>
            <a:ext uri="{FF2B5EF4-FFF2-40B4-BE49-F238E27FC236}">
              <a16:creationId xmlns:a16="http://schemas.microsoft.com/office/drawing/2014/main" id="{00000000-0008-0000-0400-000040000000}"/>
            </a:ext>
          </a:extLst>
        </xdr:cNvPr>
        <xdr:cNvSpPr>
          <a:spLocks noChangeShapeType="1"/>
        </xdr:cNvSpPr>
      </xdr:nvSpPr>
      <xdr:spPr bwMode="auto">
        <a:xfrm>
          <a:off x="1156970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65" name="Line 65">
          <a:extLst>
            <a:ext uri="{FF2B5EF4-FFF2-40B4-BE49-F238E27FC236}">
              <a16:creationId xmlns:a16="http://schemas.microsoft.com/office/drawing/2014/main" id="{00000000-0008-0000-0400-000041000000}"/>
            </a:ext>
          </a:extLst>
        </xdr:cNvPr>
        <xdr:cNvSpPr>
          <a:spLocks noChangeShapeType="1"/>
        </xdr:cNvSpPr>
      </xdr:nvSpPr>
      <xdr:spPr bwMode="auto">
        <a:xfrm>
          <a:off x="1181735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66" name="Line 66">
          <a:extLst>
            <a:ext uri="{FF2B5EF4-FFF2-40B4-BE49-F238E27FC236}">
              <a16:creationId xmlns:a16="http://schemas.microsoft.com/office/drawing/2014/main" id="{00000000-0008-0000-0400-000042000000}"/>
            </a:ext>
          </a:extLst>
        </xdr:cNvPr>
        <xdr:cNvSpPr>
          <a:spLocks noChangeShapeType="1"/>
        </xdr:cNvSpPr>
      </xdr:nvSpPr>
      <xdr:spPr bwMode="auto">
        <a:xfrm>
          <a:off x="121348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7" name="Line 67">
          <a:extLst>
            <a:ext uri="{FF2B5EF4-FFF2-40B4-BE49-F238E27FC236}">
              <a16:creationId xmlns:a16="http://schemas.microsoft.com/office/drawing/2014/main" id="{00000000-0008-0000-0400-000043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8" name="Line 68">
          <a:extLst>
            <a:ext uri="{FF2B5EF4-FFF2-40B4-BE49-F238E27FC236}">
              <a16:creationId xmlns:a16="http://schemas.microsoft.com/office/drawing/2014/main" id="{00000000-0008-0000-0400-000044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69" name="Line 69">
          <a:extLst>
            <a:ext uri="{FF2B5EF4-FFF2-40B4-BE49-F238E27FC236}">
              <a16:creationId xmlns:a16="http://schemas.microsoft.com/office/drawing/2014/main" id="{00000000-0008-0000-0400-000045000000}"/>
            </a:ext>
          </a:extLst>
        </xdr:cNvPr>
        <xdr:cNvSpPr>
          <a:spLocks noChangeShapeType="1"/>
        </xdr:cNvSpPr>
      </xdr:nvSpPr>
      <xdr:spPr bwMode="auto">
        <a:xfrm flipV="1">
          <a:off x="104775" y="955675"/>
          <a:ext cx="41275" cy="1047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70" name="Line 70">
          <a:extLst>
            <a:ext uri="{FF2B5EF4-FFF2-40B4-BE49-F238E27FC236}">
              <a16:creationId xmlns:a16="http://schemas.microsoft.com/office/drawing/2014/main" id="{00000000-0008-0000-0400-000046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1" name="Line 71">
          <a:extLst>
            <a:ext uri="{FF2B5EF4-FFF2-40B4-BE49-F238E27FC236}">
              <a16:creationId xmlns:a16="http://schemas.microsoft.com/office/drawing/2014/main" id="{00000000-0008-0000-0400-000047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00000000-0008-0000-0400-000048000000}"/>
            </a:ext>
          </a:extLst>
        </xdr:cNvPr>
        <xdr:cNvSpPr>
          <a:spLocks noChangeShapeType="1"/>
        </xdr:cNvSpPr>
      </xdr:nvSpPr>
      <xdr:spPr bwMode="auto">
        <a:xfrm flipH="1">
          <a:off x="9525" y="2476500"/>
          <a:ext cx="127000" cy="0"/>
        </a:xfrm>
        <a:prstGeom prst="line">
          <a:avLst/>
        </a:prstGeom>
        <a:noFill/>
        <a:ln w="9525">
          <a:solidFill>
            <a:srgbClr val="000000"/>
          </a:solidFill>
          <a:round/>
          <a:headEnd/>
          <a:tailEnd/>
        </a:ln>
      </xdr:spPr>
    </xdr:sp>
    <xdr:clientData/>
  </xdr:twoCellAnchor>
  <xdr:twoCellAnchor>
    <xdr:from>
      <xdr:col>0</xdr:col>
      <xdr:colOff>108856</xdr:colOff>
      <xdr:row>0</xdr:row>
      <xdr:rowOff>13607</xdr:rowOff>
    </xdr:from>
    <xdr:to>
      <xdr:col>1</xdr:col>
      <xdr:colOff>13606</xdr:colOff>
      <xdr:row>36</xdr:row>
      <xdr:rowOff>0</xdr:rowOff>
    </xdr:to>
    <xdr:sp macro="" textlink="">
      <xdr:nvSpPr>
        <xdr:cNvPr id="73" name="Line 73">
          <a:extLst>
            <a:ext uri="{FF2B5EF4-FFF2-40B4-BE49-F238E27FC236}">
              <a16:creationId xmlns:a16="http://schemas.microsoft.com/office/drawing/2014/main" id="{00000000-0008-0000-0400-000049000000}"/>
            </a:ext>
          </a:extLst>
        </xdr:cNvPr>
        <xdr:cNvSpPr>
          <a:spLocks noChangeShapeType="1"/>
        </xdr:cNvSpPr>
      </xdr:nvSpPr>
      <xdr:spPr bwMode="auto">
        <a:xfrm>
          <a:off x="108856" y="13607"/>
          <a:ext cx="13607" cy="13416643"/>
        </a:xfrm>
        <a:prstGeom prst="line">
          <a:avLst/>
        </a:prstGeom>
        <a:noFill/>
        <a:ln w="9525">
          <a:solidFill>
            <a:srgbClr val="000000"/>
          </a:solidFill>
          <a:round/>
          <a:headEnd/>
          <a:tailEnd/>
        </a:ln>
      </xdr:spPr>
      <xdr:txBody>
        <a:bodyPr/>
        <a:lstStyle/>
        <a:p>
          <a:endParaRPr lang="en-US"/>
        </a:p>
      </xdr:txBody>
    </xdr:sp>
    <xdr:clientData/>
  </xdr:twoCellAnchor>
  <xdr:twoCellAnchor>
    <xdr:from>
      <xdr:col>0</xdr:col>
      <xdr:colOff>9525</xdr:colOff>
      <xdr:row>6</xdr:row>
      <xdr:rowOff>0</xdr:rowOff>
    </xdr:from>
    <xdr:to>
      <xdr:col>6</xdr:col>
      <xdr:colOff>0</xdr:colOff>
      <xdr:row>6</xdr:row>
      <xdr:rowOff>0</xdr:rowOff>
    </xdr:to>
    <xdr:sp macro="" textlink="">
      <xdr:nvSpPr>
        <xdr:cNvPr id="74" name="Line 74">
          <a:extLst>
            <a:ext uri="{FF2B5EF4-FFF2-40B4-BE49-F238E27FC236}">
              <a16:creationId xmlns:a16="http://schemas.microsoft.com/office/drawing/2014/main" id="{00000000-0008-0000-0400-00004A000000}"/>
            </a:ext>
          </a:extLst>
        </xdr:cNvPr>
        <xdr:cNvSpPr>
          <a:spLocks noChangeShapeType="1"/>
        </xdr:cNvSpPr>
      </xdr:nvSpPr>
      <xdr:spPr bwMode="auto">
        <a:xfrm>
          <a:off x="9525" y="2476500"/>
          <a:ext cx="1171575"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28</xdr:row>
      <xdr:rowOff>0</xdr:rowOff>
    </xdr:to>
    <xdr:sp macro="" textlink="">
      <xdr:nvSpPr>
        <xdr:cNvPr id="76" name="Line 76">
          <a:extLst>
            <a:ext uri="{FF2B5EF4-FFF2-40B4-BE49-F238E27FC236}">
              <a16:creationId xmlns:a16="http://schemas.microsoft.com/office/drawing/2014/main" id="{00000000-0008-0000-0400-00004C000000}"/>
            </a:ext>
          </a:extLst>
        </xdr:cNvPr>
        <xdr:cNvSpPr>
          <a:spLocks noChangeShapeType="1"/>
        </xdr:cNvSpPr>
      </xdr:nvSpPr>
      <xdr:spPr bwMode="auto">
        <a:xfrm>
          <a:off x="393700" y="0"/>
          <a:ext cx="0" cy="882650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57150</xdr:rowOff>
        </xdr:from>
        <xdr:to>
          <xdr:col>0</xdr:col>
          <xdr:colOff>0</xdr:colOff>
          <xdr:row>36</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209550</xdr:rowOff>
        </xdr:from>
        <xdr:to>
          <xdr:col>8</xdr:col>
          <xdr:colOff>1619250</xdr:colOff>
          <xdr:row>0</xdr:row>
          <xdr:rowOff>342900</xdr:rowOff>
        </xdr:to>
        <xdr:sp macro="" textlink="">
          <xdr:nvSpPr>
            <xdr:cNvPr id="8194" name="Check Box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1409700</xdr:colOff>
          <xdr:row>1</xdr:row>
          <xdr:rowOff>19050</xdr:rowOff>
        </xdr:to>
        <xdr:sp macro="" textlink="">
          <xdr:nvSpPr>
            <xdr:cNvPr id="8195" name="Check Box 3" hidden="1">
              <a:extLst>
                <a:ext uri="{63B3BB69-23CF-44E3-9099-C40C66FF867C}">
                  <a14:compatExt spid="_x0000_s8195"/>
                </a:ext>
                <a:ext uri="{FF2B5EF4-FFF2-40B4-BE49-F238E27FC236}">
                  <a16:creationId xmlns:a16="http://schemas.microsoft.com/office/drawing/2014/main" id="{00000000-0008-0000-0400-00000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1200150</xdr:colOff>
          <xdr:row>0</xdr:row>
          <xdr:rowOff>361950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361950</xdr:rowOff>
        </xdr:from>
        <xdr:to>
          <xdr:col>9</xdr:col>
          <xdr:colOff>1428750</xdr:colOff>
          <xdr:row>1</xdr:row>
          <xdr:rowOff>19050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twoCellAnchor>
    <xdr:from>
      <xdr:col>1</xdr:col>
      <xdr:colOff>9525</xdr:colOff>
      <xdr:row>6</xdr:row>
      <xdr:rowOff>0</xdr:rowOff>
    </xdr:from>
    <xdr:to>
      <xdr:col>6</xdr:col>
      <xdr:colOff>0</xdr:colOff>
      <xdr:row>6</xdr:row>
      <xdr:rowOff>0</xdr:rowOff>
    </xdr:to>
    <xdr:sp macro="" textlink="">
      <xdr:nvSpPr>
        <xdr:cNvPr id="77" name="Line 70">
          <a:extLst>
            <a:ext uri="{FF2B5EF4-FFF2-40B4-BE49-F238E27FC236}">
              <a16:creationId xmlns:a16="http://schemas.microsoft.com/office/drawing/2014/main" id="{00000000-0008-0000-0400-00004D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8" name="Line 71">
          <a:extLst>
            <a:ext uri="{FF2B5EF4-FFF2-40B4-BE49-F238E27FC236}">
              <a16:creationId xmlns:a16="http://schemas.microsoft.com/office/drawing/2014/main" id="{00000000-0008-0000-0400-00004E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flipV="1">
          <a:off x="1460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3" name="Line 2">
          <a:extLst>
            <a:ext uri="{FF2B5EF4-FFF2-40B4-BE49-F238E27FC236}">
              <a16:creationId xmlns:a16="http://schemas.microsoft.com/office/drawing/2014/main" id="{00000000-0008-0000-0500-000003000000}"/>
            </a:ext>
          </a:extLst>
        </xdr:cNvPr>
        <xdr:cNvSpPr>
          <a:spLocks noChangeShapeType="1"/>
        </xdr:cNvSpPr>
      </xdr:nvSpPr>
      <xdr:spPr bwMode="auto">
        <a:xfrm>
          <a:off x="136525" y="0"/>
          <a:ext cx="104457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4" name="Line 3">
          <a:extLst>
            <a:ext uri="{FF2B5EF4-FFF2-40B4-BE49-F238E27FC236}">
              <a16:creationId xmlns:a16="http://schemas.microsoft.com/office/drawing/2014/main" id="{00000000-0008-0000-0500-000004000000}"/>
            </a:ext>
          </a:extLst>
        </xdr:cNvPr>
        <xdr:cNvSpPr>
          <a:spLocks noChangeShapeType="1"/>
        </xdr:cNvSpPr>
      </xdr:nvSpPr>
      <xdr:spPr bwMode="auto">
        <a:xfrm>
          <a:off x="127000" y="0"/>
          <a:ext cx="10541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 name="Line 4">
          <a:extLst>
            <a:ext uri="{FF2B5EF4-FFF2-40B4-BE49-F238E27FC236}">
              <a16:creationId xmlns:a16="http://schemas.microsoft.com/office/drawing/2014/main" id="{00000000-0008-0000-0500-000005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00000000-0008-0000-0500-000006000000}"/>
            </a:ext>
          </a:extLst>
        </xdr:cNvPr>
        <xdr:cNvSpPr>
          <a:spLocks noChangeShapeType="1"/>
        </xdr:cNvSpPr>
      </xdr:nvSpPr>
      <xdr:spPr bwMode="auto">
        <a:xfrm flipH="1">
          <a:off x="9525" y="0"/>
          <a:ext cx="1270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7" name="Line 6">
          <a:extLst>
            <a:ext uri="{FF2B5EF4-FFF2-40B4-BE49-F238E27FC236}">
              <a16:creationId xmlns:a16="http://schemas.microsoft.com/office/drawing/2014/main" id="{00000000-0008-0000-0500-000007000000}"/>
            </a:ext>
          </a:extLst>
        </xdr:cNvPr>
        <xdr:cNvSpPr>
          <a:spLocks noChangeShapeType="1"/>
        </xdr:cNvSpPr>
      </xdr:nvSpPr>
      <xdr:spPr bwMode="auto">
        <a:xfrm flipH="1">
          <a:off x="118110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8" name="Line 7">
          <a:extLst>
            <a:ext uri="{FF2B5EF4-FFF2-40B4-BE49-F238E27FC236}">
              <a16:creationId xmlns:a16="http://schemas.microsoft.com/office/drawing/2014/main" id="{00000000-0008-0000-0500-000008000000}"/>
            </a:ext>
          </a:extLst>
        </xdr:cNvPr>
        <xdr:cNvSpPr>
          <a:spLocks noChangeShapeType="1"/>
        </xdr:cNvSpPr>
      </xdr:nvSpPr>
      <xdr:spPr bwMode="auto">
        <a:xfrm flipV="1">
          <a:off x="118110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00000000-0008-0000-0500-000009000000}"/>
            </a:ext>
          </a:extLst>
        </xdr:cNvPr>
        <xdr:cNvSpPr>
          <a:spLocks noChangeShapeType="1"/>
        </xdr:cNvSpPr>
      </xdr:nvSpPr>
      <xdr:spPr bwMode="auto">
        <a:xfrm>
          <a:off x="1270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 name="Line 9">
          <a:extLst>
            <a:ext uri="{FF2B5EF4-FFF2-40B4-BE49-F238E27FC236}">
              <a16:creationId xmlns:a16="http://schemas.microsoft.com/office/drawing/2014/main" id="{00000000-0008-0000-0500-00000A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1" name="Line 10">
          <a:extLst>
            <a:ext uri="{FF2B5EF4-FFF2-40B4-BE49-F238E27FC236}">
              <a16:creationId xmlns:a16="http://schemas.microsoft.com/office/drawing/2014/main" id="{00000000-0008-0000-0500-00000B000000}"/>
            </a:ext>
          </a:extLst>
        </xdr:cNvPr>
        <xdr:cNvSpPr>
          <a:spLocks noChangeShapeType="1"/>
        </xdr:cNvSpPr>
      </xdr:nvSpPr>
      <xdr:spPr bwMode="auto">
        <a:xfrm>
          <a:off x="0" y="0"/>
          <a:ext cx="122967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2" name="Line 11">
          <a:extLst>
            <a:ext uri="{FF2B5EF4-FFF2-40B4-BE49-F238E27FC236}">
              <a16:creationId xmlns:a16="http://schemas.microsoft.com/office/drawing/2014/main" id="{00000000-0008-0000-0500-00000C000000}"/>
            </a:ext>
          </a:extLst>
        </xdr:cNvPr>
        <xdr:cNvSpPr>
          <a:spLocks noChangeShapeType="1"/>
        </xdr:cNvSpPr>
      </xdr:nvSpPr>
      <xdr:spPr bwMode="auto">
        <a:xfrm flipH="1">
          <a:off x="19050" y="0"/>
          <a:ext cx="155765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3" name="Line 12">
          <a:extLst>
            <a:ext uri="{FF2B5EF4-FFF2-40B4-BE49-F238E27FC236}">
              <a16:creationId xmlns:a16="http://schemas.microsoft.com/office/drawing/2014/main" id="{00000000-0008-0000-0500-00000D000000}"/>
            </a:ext>
          </a:extLst>
        </xdr:cNvPr>
        <xdr:cNvSpPr>
          <a:spLocks noChangeShapeType="1"/>
        </xdr:cNvSpPr>
      </xdr:nvSpPr>
      <xdr:spPr bwMode="auto">
        <a:xfrm>
          <a:off x="9525" y="0"/>
          <a:ext cx="117157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4" name="Line 13">
          <a:extLst>
            <a:ext uri="{FF2B5EF4-FFF2-40B4-BE49-F238E27FC236}">
              <a16:creationId xmlns:a16="http://schemas.microsoft.com/office/drawing/2014/main" id="{00000000-0008-0000-0500-00000E000000}"/>
            </a:ext>
          </a:extLst>
        </xdr:cNvPr>
        <xdr:cNvSpPr>
          <a:spLocks noChangeShapeType="1"/>
        </xdr:cNvSpPr>
      </xdr:nvSpPr>
      <xdr:spPr bwMode="auto">
        <a:xfrm flipH="1"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00000000-0008-0000-0500-00000F00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6" name="Line 15">
          <a:extLst>
            <a:ext uri="{FF2B5EF4-FFF2-40B4-BE49-F238E27FC236}">
              <a16:creationId xmlns:a16="http://schemas.microsoft.com/office/drawing/2014/main" id="{00000000-0008-0000-0500-000010000000}"/>
            </a:ext>
          </a:extLst>
        </xdr:cNvPr>
        <xdr:cNvSpPr>
          <a:spLocks noChangeShapeType="1"/>
        </xdr:cNvSpPr>
      </xdr:nvSpPr>
      <xdr:spPr bwMode="auto">
        <a:xfrm>
          <a:off x="0" y="0"/>
          <a:ext cx="1559560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7" name="Line 16">
          <a:extLst>
            <a:ext uri="{FF2B5EF4-FFF2-40B4-BE49-F238E27FC236}">
              <a16:creationId xmlns:a16="http://schemas.microsoft.com/office/drawing/2014/main" id="{00000000-0008-0000-0500-000011000000}"/>
            </a:ext>
          </a:extLst>
        </xdr:cNvPr>
        <xdr:cNvSpPr>
          <a:spLocks noChangeShapeType="1"/>
        </xdr:cNvSpPr>
      </xdr:nvSpPr>
      <xdr:spPr bwMode="auto">
        <a:xfrm flipH="1" flipV="1">
          <a:off x="155956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8" name="Line 17">
          <a:extLst>
            <a:ext uri="{FF2B5EF4-FFF2-40B4-BE49-F238E27FC236}">
              <a16:creationId xmlns:a16="http://schemas.microsoft.com/office/drawing/2014/main" id="{00000000-0008-0000-0500-000012000000}"/>
            </a:ext>
          </a:extLst>
        </xdr:cNvPr>
        <xdr:cNvSpPr>
          <a:spLocks noChangeShapeType="1"/>
        </xdr:cNvSpPr>
      </xdr:nvSpPr>
      <xdr:spPr bwMode="auto">
        <a:xfrm flipH="1" flipV="1">
          <a:off x="0" y="0"/>
          <a:ext cx="152336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00000000-0008-0000-0500-00001300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20" name="Line 19">
          <a:extLst>
            <a:ext uri="{FF2B5EF4-FFF2-40B4-BE49-F238E27FC236}">
              <a16:creationId xmlns:a16="http://schemas.microsoft.com/office/drawing/2014/main" id="{00000000-0008-0000-0500-000014000000}"/>
            </a:ext>
          </a:extLst>
        </xdr:cNvPr>
        <xdr:cNvSpPr>
          <a:spLocks noChangeShapeType="1"/>
        </xdr:cNvSpPr>
      </xdr:nvSpPr>
      <xdr:spPr bwMode="auto">
        <a:xfrm>
          <a:off x="1200150" y="0"/>
          <a:ext cx="11290300"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21" name="Line 20">
          <a:extLst>
            <a:ext uri="{FF2B5EF4-FFF2-40B4-BE49-F238E27FC236}">
              <a16:creationId xmlns:a16="http://schemas.microsoft.com/office/drawing/2014/main" id="{00000000-0008-0000-0500-000015000000}"/>
            </a:ext>
          </a:extLst>
        </xdr:cNvPr>
        <xdr:cNvSpPr>
          <a:spLocks noChangeShapeType="1"/>
        </xdr:cNvSpPr>
      </xdr:nvSpPr>
      <xdr:spPr bwMode="auto">
        <a:xfrm>
          <a:off x="984250" y="0"/>
          <a:ext cx="142049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22" name="Line 21">
          <a:extLst>
            <a:ext uri="{FF2B5EF4-FFF2-40B4-BE49-F238E27FC236}">
              <a16:creationId xmlns:a16="http://schemas.microsoft.com/office/drawing/2014/main" id="{00000000-0008-0000-0500-000016000000}"/>
            </a:ext>
          </a:extLst>
        </xdr:cNvPr>
        <xdr:cNvSpPr>
          <a:spLocks noChangeShapeType="1"/>
        </xdr:cNvSpPr>
      </xdr:nvSpPr>
      <xdr:spPr bwMode="auto">
        <a:xfrm>
          <a:off x="19050" y="0"/>
          <a:ext cx="14284325"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23" name="Line 22">
          <a:extLst>
            <a:ext uri="{FF2B5EF4-FFF2-40B4-BE49-F238E27FC236}">
              <a16:creationId xmlns:a16="http://schemas.microsoft.com/office/drawing/2014/main" id="{00000000-0008-0000-0500-000017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24" name="Line 23">
          <a:extLst>
            <a:ext uri="{FF2B5EF4-FFF2-40B4-BE49-F238E27FC236}">
              <a16:creationId xmlns:a16="http://schemas.microsoft.com/office/drawing/2014/main" id="{00000000-0008-0000-0500-000018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5" name="Line 24">
          <a:extLst>
            <a:ext uri="{FF2B5EF4-FFF2-40B4-BE49-F238E27FC236}">
              <a16:creationId xmlns:a16="http://schemas.microsoft.com/office/drawing/2014/main" id="{00000000-0008-0000-0500-000019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26" name="Line 25">
          <a:extLst>
            <a:ext uri="{FF2B5EF4-FFF2-40B4-BE49-F238E27FC236}">
              <a16:creationId xmlns:a16="http://schemas.microsoft.com/office/drawing/2014/main" id="{00000000-0008-0000-0500-00001A000000}"/>
            </a:ext>
          </a:extLst>
        </xdr:cNvPr>
        <xdr:cNvSpPr>
          <a:spLocks noChangeShapeType="1"/>
        </xdr:cNvSpPr>
      </xdr:nvSpPr>
      <xdr:spPr bwMode="auto">
        <a:xfrm>
          <a:off x="12372975"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27" name="Line 26">
          <a:extLst>
            <a:ext uri="{FF2B5EF4-FFF2-40B4-BE49-F238E27FC236}">
              <a16:creationId xmlns:a16="http://schemas.microsoft.com/office/drawing/2014/main" id="{00000000-0008-0000-0500-00001B000000}"/>
            </a:ext>
          </a:extLst>
        </xdr:cNvPr>
        <xdr:cNvSpPr>
          <a:spLocks noChangeShapeType="1"/>
        </xdr:cNvSpPr>
      </xdr:nvSpPr>
      <xdr:spPr bwMode="auto">
        <a:xfrm>
          <a:off x="12201525" y="0"/>
          <a:ext cx="2997200"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28" name="Line 27">
          <a:extLst>
            <a:ext uri="{FF2B5EF4-FFF2-40B4-BE49-F238E27FC236}">
              <a16:creationId xmlns:a16="http://schemas.microsoft.com/office/drawing/2014/main" id="{00000000-0008-0000-0500-00001C000000}"/>
            </a:ext>
          </a:extLst>
        </xdr:cNvPr>
        <xdr:cNvSpPr>
          <a:spLocks noChangeShapeType="1"/>
        </xdr:cNvSpPr>
      </xdr:nvSpPr>
      <xdr:spPr bwMode="auto">
        <a:xfrm>
          <a:off x="11055350" y="0"/>
          <a:ext cx="143510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29" name="Line 28">
          <a:extLst>
            <a:ext uri="{FF2B5EF4-FFF2-40B4-BE49-F238E27FC236}">
              <a16:creationId xmlns:a16="http://schemas.microsoft.com/office/drawing/2014/main" id="{00000000-0008-0000-0500-00001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30" name="Line 29">
          <a:extLst>
            <a:ext uri="{FF2B5EF4-FFF2-40B4-BE49-F238E27FC236}">
              <a16:creationId xmlns:a16="http://schemas.microsoft.com/office/drawing/2014/main" id="{00000000-0008-0000-0500-00001E000000}"/>
            </a:ext>
          </a:extLst>
        </xdr:cNvPr>
        <xdr:cNvSpPr>
          <a:spLocks noChangeShapeType="1"/>
        </xdr:cNvSpPr>
      </xdr:nvSpPr>
      <xdr:spPr bwMode="auto">
        <a:xfrm>
          <a:off x="11312525"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31" name="Line 30">
          <a:extLst>
            <a:ext uri="{FF2B5EF4-FFF2-40B4-BE49-F238E27FC236}">
              <a16:creationId xmlns:a16="http://schemas.microsoft.com/office/drawing/2014/main" id="{00000000-0008-0000-0500-00001F000000}"/>
            </a:ext>
          </a:extLst>
        </xdr:cNvPr>
        <xdr:cNvSpPr>
          <a:spLocks noChangeShapeType="1"/>
        </xdr:cNvSpPr>
      </xdr:nvSpPr>
      <xdr:spPr bwMode="auto">
        <a:xfrm>
          <a:off x="14293850" y="0"/>
          <a:ext cx="1301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32" name="Line 31">
          <a:extLst>
            <a:ext uri="{FF2B5EF4-FFF2-40B4-BE49-F238E27FC236}">
              <a16:creationId xmlns:a16="http://schemas.microsoft.com/office/drawing/2014/main" id="{00000000-0008-0000-0500-000020000000}"/>
            </a:ext>
          </a:extLst>
        </xdr:cNvPr>
        <xdr:cNvSpPr>
          <a:spLocks noChangeShapeType="1"/>
        </xdr:cNvSpPr>
      </xdr:nvSpPr>
      <xdr:spPr bwMode="auto">
        <a:xfrm>
          <a:off x="1213485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3" name="Line 32">
          <a:extLst>
            <a:ext uri="{FF2B5EF4-FFF2-40B4-BE49-F238E27FC236}">
              <a16:creationId xmlns:a16="http://schemas.microsoft.com/office/drawing/2014/main" id="{00000000-0008-0000-0500-000021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4" name="Line 33">
          <a:extLst>
            <a:ext uri="{FF2B5EF4-FFF2-40B4-BE49-F238E27FC236}">
              <a16:creationId xmlns:a16="http://schemas.microsoft.com/office/drawing/2014/main" id="{00000000-0008-0000-0500-000022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5" name="Line 34">
          <a:extLst>
            <a:ext uri="{FF2B5EF4-FFF2-40B4-BE49-F238E27FC236}">
              <a16:creationId xmlns:a16="http://schemas.microsoft.com/office/drawing/2014/main" id="{00000000-0008-0000-0500-000023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6" name="Line 35">
          <a:extLst>
            <a:ext uri="{FF2B5EF4-FFF2-40B4-BE49-F238E27FC236}">
              <a16:creationId xmlns:a16="http://schemas.microsoft.com/office/drawing/2014/main" id="{00000000-0008-0000-0500-000024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37" name="Line 36">
          <a:extLst>
            <a:ext uri="{FF2B5EF4-FFF2-40B4-BE49-F238E27FC236}">
              <a16:creationId xmlns:a16="http://schemas.microsoft.com/office/drawing/2014/main" id="{00000000-0008-0000-0500-000025000000}"/>
            </a:ext>
          </a:extLst>
        </xdr:cNvPr>
        <xdr:cNvSpPr>
          <a:spLocks noChangeShapeType="1"/>
        </xdr:cNvSpPr>
      </xdr:nvSpPr>
      <xdr:spPr bwMode="auto">
        <a:xfrm>
          <a:off x="12144375" y="0"/>
          <a:ext cx="3451225"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38" name="Line 37">
          <a:extLst>
            <a:ext uri="{FF2B5EF4-FFF2-40B4-BE49-F238E27FC236}">
              <a16:creationId xmlns:a16="http://schemas.microsoft.com/office/drawing/2014/main" id="{00000000-0008-0000-0500-000026000000}"/>
            </a:ext>
          </a:extLst>
        </xdr:cNvPr>
        <xdr:cNvSpPr>
          <a:spLocks noChangeShapeType="1"/>
        </xdr:cNvSpPr>
      </xdr:nvSpPr>
      <xdr:spPr bwMode="auto">
        <a:xfrm>
          <a:off x="1274762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39" name="Line 38">
          <a:extLst>
            <a:ext uri="{FF2B5EF4-FFF2-40B4-BE49-F238E27FC236}">
              <a16:creationId xmlns:a16="http://schemas.microsoft.com/office/drawing/2014/main" id="{00000000-0008-0000-0500-000027000000}"/>
            </a:ext>
          </a:extLst>
        </xdr:cNvPr>
        <xdr:cNvSpPr>
          <a:spLocks noChangeShapeType="1"/>
        </xdr:cNvSpPr>
      </xdr:nvSpPr>
      <xdr:spPr bwMode="auto">
        <a:xfrm flipH="1">
          <a:off x="14693900"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0" name="Line 39">
          <a:extLst>
            <a:ext uri="{FF2B5EF4-FFF2-40B4-BE49-F238E27FC236}">
              <a16:creationId xmlns:a16="http://schemas.microsoft.com/office/drawing/2014/main" id="{00000000-0008-0000-0500-000028000000}"/>
            </a:ext>
          </a:extLst>
        </xdr:cNvPr>
        <xdr:cNvSpPr>
          <a:spLocks noChangeShapeType="1"/>
        </xdr:cNvSpPr>
      </xdr:nvSpPr>
      <xdr:spPr bwMode="auto">
        <a:xfrm flipV="1">
          <a:off x="1469390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1" name="Line 40">
          <a:extLst>
            <a:ext uri="{FF2B5EF4-FFF2-40B4-BE49-F238E27FC236}">
              <a16:creationId xmlns:a16="http://schemas.microsoft.com/office/drawing/2014/main" id="{00000000-0008-0000-0500-000029000000}"/>
            </a:ext>
          </a:extLst>
        </xdr:cNvPr>
        <xdr:cNvSpPr>
          <a:spLocks noChangeShapeType="1"/>
        </xdr:cNvSpPr>
      </xdr:nvSpPr>
      <xdr:spPr bwMode="auto">
        <a:xfrm>
          <a:off x="14693900"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42" name="Line 41">
          <a:extLst>
            <a:ext uri="{FF2B5EF4-FFF2-40B4-BE49-F238E27FC236}">
              <a16:creationId xmlns:a16="http://schemas.microsoft.com/office/drawing/2014/main" id="{00000000-0008-0000-0500-00002A000000}"/>
            </a:ext>
          </a:extLst>
        </xdr:cNvPr>
        <xdr:cNvSpPr>
          <a:spLocks noChangeShapeType="1"/>
        </xdr:cNvSpPr>
      </xdr:nvSpPr>
      <xdr:spPr bwMode="auto">
        <a:xfrm>
          <a:off x="13303250"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43" name="Line 42">
          <a:extLst>
            <a:ext uri="{FF2B5EF4-FFF2-40B4-BE49-F238E27FC236}">
              <a16:creationId xmlns:a16="http://schemas.microsoft.com/office/drawing/2014/main" id="{00000000-0008-0000-0500-00002B000000}"/>
            </a:ext>
          </a:extLst>
        </xdr:cNvPr>
        <xdr:cNvSpPr>
          <a:spLocks noChangeShapeType="1"/>
        </xdr:cNvSpPr>
      </xdr:nvSpPr>
      <xdr:spPr bwMode="auto">
        <a:xfrm>
          <a:off x="15141575"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44" name="Line 43">
          <a:extLst>
            <a:ext uri="{FF2B5EF4-FFF2-40B4-BE49-F238E27FC236}">
              <a16:creationId xmlns:a16="http://schemas.microsoft.com/office/drawing/2014/main" id="{00000000-0008-0000-0500-00002C000000}"/>
            </a:ext>
          </a:extLst>
        </xdr:cNvPr>
        <xdr:cNvSpPr>
          <a:spLocks noChangeShapeType="1"/>
        </xdr:cNvSpPr>
      </xdr:nvSpPr>
      <xdr:spPr bwMode="auto">
        <a:xfrm>
          <a:off x="6321425" y="0"/>
          <a:ext cx="295275"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45" name="Line 44">
          <a:extLst>
            <a:ext uri="{FF2B5EF4-FFF2-40B4-BE49-F238E27FC236}">
              <a16:creationId xmlns:a16="http://schemas.microsoft.com/office/drawing/2014/main" id="{00000000-0008-0000-0500-00002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46" name="Line 45">
          <a:extLst>
            <a:ext uri="{FF2B5EF4-FFF2-40B4-BE49-F238E27FC236}">
              <a16:creationId xmlns:a16="http://schemas.microsoft.com/office/drawing/2014/main" id="{00000000-0008-0000-0500-00002E000000}"/>
            </a:ext>
          </a:extLst>
        </xdr:cNvPr>
        <xdr:cNvSpPr>
          <a:spLocks noChangeShapeType="1"/>
        </xdr:cNvSpPr>
      </xdr:nvSpPr>
      <xdr:spPr bwMode="auto">
        <a:xfrm>
          <a:off x="10769600" y="0"/>
          <a:ext cx="26670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47" name="Line 46">
          <a:extLst>
            <a:ext uri="{FF2B5EF4-FFF2-40B4-BE49-F238E27FC236}">
              <a16:creationId xmlns:a16="http://schemas.microsoft.com/office/drawing/2014/main" id="{00000000-0008-0000-0500-00002F000000}"/>
            </a:ext>
          </a:extLst>
        </xdr:cNvPr>
        <xdr:cNvSpPr>
          <a:spLocks noChangeShapeType="1"/>
        </xdr:cNvSpPr>
      </xdr:nvSpPr>
      <xdr:spPr bwMode="auto">
        <a:xfrm>
          <a:off x="6321425" y="0"/>
          <a:ext cx="4543425"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48" name="Line 47">
          <a:extLst>
            <a:ext uri="{FF2B5EF4-FFF2-40B4-BE49-F238E27FC236}">
              <a16:creationId xmlns:a16="http://schemas.microsoft.com/office/drawing/2014/main" id="{00000000-0008-0000-0500-000030000000}"/>
            </a:ext>
          </a:extLst>
        </xdr:cNvPr>
        <xdr:cNvSpPr>
          <a:spLocks noChangeShapeType="1"/>
        </xdr:cNvSpPr>
      </xdr:nvSpPr>
      <xdr:spPr bwMode="auto">
        <a:xfrm>
          <a:off x="10798175" y="0"/>
          <a:ext cx="91440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00000000-0008-0000-0500-000031000000}"/>
            </a:ext>
          </a:extLst>
        </xdr:cNvPr>
        <xdr:cNvSpPr>
          <a:spLocks noChangeShapeType="1"/>
        </xdr:cNvSpPr>
      </xdr:nvSpPr>
      <xdr:spPr bwMode="auto">
        <a:xfrm>
          <a:off x="39370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50" name="Line 50">
          <a:extLst>
            <a:ext uri="{FF2B5EF4-FFF2-40B4-BE49-F238E27FC236}">
              <a16:creationId xmlns:a16="http://schemas.microsoft.com/office/drawing/2014/main" id="{00000000-0008-0000-0500-000032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51" name="Line 51">
          <a:extLst>
            <a:ext uri="{FF2B5EF4-FFF2-40B4-BE49-F238E27FC236}">
              <a16:creationId xmlns:a16="http://schemas.microsoft.com/office/drawing/2014/main" id="{00000000-0008-0000-0500-000033000000}"/>
            </a:ext>
          </a:extLst>
        </xdr:cNvPr>
        <xdr:cNvSpPr>
          <a:spLocks noChangeShapeType="1"/>
        </xdr:cNvSpPr>
      </xdr:nvSpPr>
      <xdr:spPr bwMode="auto">
        <a:xfrm>
          <a:off x="1644650" y="0"/>
          <a:ext cx="850900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52" name="Line 52">
          <a:extLst>
            <a:ext uri="{FF2B5EF4-FFF2-40B4-BE49-F238E27FC236}">
              <a16:creationId xmlns:a16="http://schemas.microsoft.com/office/drawing/2014/main" id="{00000000-0008-0000-0500-000034000000}"/>
            </a:ext>
          </a:extLst>
        </xdr:cNvPr>
        <xdr:cNvSpPr>
          <a:spLocks noChangeShapeType="1"/>
        </xdr:cNvSpPr>
      </xdr:nvSpPr>
      <xdr:spPr bwMode="auto">
        <a:xfrm flipH="1">
          <a:off x="5153025"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53" name="Line 53">
          <a:extLst>
            <a:ext uri="{FF2B5EF4-FFF2-40B4-BE49-F238E27FC236}">
              <a16:creationId xmlns:a16="http://schemas.microsoft.com/office/drawing/2014/main" id="{00000000-0008-0000-0500-000035000000}"/>
            </a:ext>
          </a:extLst>
        </xdr:cNvPr>
        <xdr:cNvSpPr>
          <a:spLocks noChangeShapeType="1"/>
        </xdr:cNvSpPr>
      </xdr:nvSpPr>
      <xdr:spPr bwMode="auto">
        <a:xfrm>
          <a:off x="6616700"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54" name="Line 54">
          <a:extLst>
            <a:ext uri="{FF2B5EF4-FFF2-40B4-BE49-F238E27FC236}">
              <a16:creationId xmlns:a16="http://schemas.microsoft.com/office/drawing/2014/main" id="{00000000-0008-0000-0500-000036000000}"/>
            </a:ext>
          </a:extLst>
        </xdr:cNvPr>
        <xdr:cNvSpPr>
          <a:spLocks noChangeShapeType="1"/>
        </xdr:cNvSpPr>
      </xdr:nvSpPr>
      <xdr:spPr bwMode="auto">
        <a:xfrm>
          <a:off x="5172075" y="0"/>
          <a:ext cx="144462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55" name="Line 55">
          <a:extLst>
            <a:ext uri="{FF2B5EF4-FFF2-40B4-BE49-F238E27FC236}">
              <a16:creationId xmlns:a16="http://schemas.microsoft.com/office/drawing/2014/main" id="{00000000-0008-0000-0500-000037000000}"/>
            </a:ext>
          </a:extLst>
        </xdr:cNvPr>
        <xdr:cNvSpPr>
          <a:spLocks noChangeShapeType="1"/>
        </xdr:cNvSpPr>
      </xdr:nvSpPr>
      <xdr:spPr bwMode="auto">
        <a:xfrm>
          <a:off x="575945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6" name="Line 56">
          <a:extLst>
            <a:ext uri="{FF2B5EF4-FFF2-40B4-BE49-F238E27FC236}">
              <a16:creationId xmlns:a16="http://schemas.microsoft.com/office/drawing/2014/main" id="{00000000-0008-0000-0500-000038000000}"/>
            </a:ext>
          </a:extLst>
        </xdr:cNvPr>
        <xdr:cNvSpPr>
          <a:spLocks noChangeShapeType="1"/>
        </xdr:cNvSpPr>
      </xdr:nvSpPr>
      <xdr:spPr bwMode="auto">
        <a:xfrm>
          <a:off x="902335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57" name="Line 57">
          <a:extLst>
            <a:ext uri="{FF2B5EF4-FFF2-40B4-BE49-F238E27FC236}">
              <a16:creationId xmlns:a16="http://schemas.microsoft.com/office/drawing/2014/main" id="{00000000-0008-0000-0500-000039000000}"/>
            </a:ext>
          </a:extLst>
        </xdr:cNvPr>
        <xdr:cNvSpPr>
          <a:spLocks noChangeShapeType="1"/>
        </xdr:cNvSpPr>
      </xdr:nvSpPr>
      <xdr:spPr bwMode="auto">
        <a:xfrm>
          <a:off x="110363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58" name="Line 58">
          <a:extLst>
            <a:ext uri="{FF2B5EF4-FFF2-40B4-BE49-F238E27FC236}">
              <a16:creationId xmlns:a16="http://schemas.microsoft.com/office/drawing/2014/main" id="{00000000-0008-0000-0500-00003A000000}"/>
            </a:ext>
          </a:extLst>
        </xdr:cNvPr>
        <xdr:cNvSpPr>
          <a:spLocks noChangeShapeType="1"/>
        </xdr:cNvSpPr>
      </xdr:nvSpPr>
      <xdr:spPr bwMode="auto">
        <a:xfrm>
          <a:off x="1156970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59" name="Line 59">
          <a:extLst>
            <a:ext uri="{FF2B5EF4-FFF2-40B4-BE49-F238E27FC236}">
              <a16:creationId xmlns:a16="http://schemas.microsoft.com/office/drawing/2014/main" id="{00000000-0008-0000-0500-00003B000000}"/>
            </a:ext>
          </a:extLst>
        </xdr:cNvPr>
        <xdr:cNvSpPr>
          <a:spLocks noChangeShapeType="1"/>
        </xdr:cNvSpPr>
      </xdr:nvSpPr>
      <xdr:spPr bwMode="auto">
        <a:xfrm>
          <a:off x="11817350"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60" name="Line 60">
          <a:extLst>
            <a:ext uri="{FF2B5EF4-FFF2-40B4-BE49-F238E27FC236}">
              <a16:creationId xmlns:a16="http://schemas.microsoft.com/office/drawing/2014/main" id="{00000000-0008-0000-0500-00003C000000}"/>
            </a:ext>
          </a:extLst>
        </xdr:cNvPr>
        <xdr:cNvSpPr>
          <a:spLocks noChangeShapeType="1"/>
        </xdr:cNvSpPr>
      </xdr:nvSpPr>
      <xdr:spPr bwMode="auto">
        <a:xfrm>
          <a:off x="34480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1" name="Line 61">
          <a:extLst>
            <a:ext uri="{FF2B5EF4-FFF2-40B4-BE49-F238E27FC236}">
              <a16:creationId xmlns:a16="http://schemas.microsoft.com/office/drawing/2014/main" id="{00000000-0008-0000-0500-00003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62" name="Line 62">
          <a:extLst>
            <a:ext uri="{FF2B5EF4-FFF2-40B4-BE49-F238E27FC236}">
              <a16:creationId xmlns:a16="http://schemas.microsoft.com/office/drawing/2014/main" id="{00000000-0008-0000-0500-00003E000000}"/>
            </a:ext>
          </a:extLst>
        </xdr:cNvPr>
        <xdr:cNvSpPr>
          <a:spLocks noChangeShapeType="1"/>
        </xdr:cNvSpPr>
      </xdr:nvSpPr>
      <xdr:spPr bwMode="auto">
        <a:xfrm>
          <a:off x="11007725"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63" name="Line 63">
          <a:extLst>
            <a:ext uri="{FF2B5EF4-FFF2-40B4-BE49-F238E27FC236}">
              <a16:creationId xmlns:a16="http://schemas.microsoft.com/office/drawing/2014/main" id="{00000000-0008-0000-0500-00003F000000}"/>
            </a:ext>
          </a:extLst>
        </xdr:cNvPr>
        <xdr:cNvSpPr>
          <a:spLocks noChangeShapeType="1"/>
        </xdr:cNvSpPr>
      </xdr:nvSpPr>
      <xdr:spPr bwMode="auto">
        <a:xfrm>
          <a:off x="127381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64" name="Line 64">
          <a:extLst>
            <a:ext uri="{FF2B5EF4-FFF2-40B4-BE49-F238E27FC236}">
              <a16:creationId xmlns:a16="http://schemas.microsoft.com/office/drawing/2014/main" id="{00000000-0008-0000-0500-000040000000}"/>
            </a:ext>
          </a:extLst>
        </xdr:cNvPr>
        <xdr:cNvSpPr>
          <a:spLocks noChangeShapeType="1"/>
        </xdr:cNvSpPr>
      </xdr:nvSpPr>
      <xdr:spPr bwMode="auto">
        <a:xfrm>
          <a:off x="1156970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65" name="Line 65">
          <a:extLst>
            <a:ext uri="{FF2B5EF4-FFF2-40B4-BE49-F238E27FC236}">
              <a16:creationId xmlns:a16="http://schemas.microsoft.com/office/drawing/2014/main" id="{00000000-0008-0000-0500-000041000000}"/>
            </a:ext>
          </a:extLst>
        </xdr:cNvPr>
        <xdr:cNvSpPr>
          <a:spLocks noChangeShapeType="1"/>
        </xdr:cNvSpPr>
      </xdr:nvSpPr>
      <xdr:spPr bwMode="auto">
        <a:xfrm>
          <a:off x="1181735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66" name="Line 66">
          <a:extLst>
            <a:ext uri="{FF2B5EF4-FFF2-40B4-BE49-F238E27FC236}">
              <a16:creationId xmlns:a16="http://schemas.microsoft.com/office/drawing/2014/main" id="{00000000-0008-0000-0500-000042000000}"/>
            </a:ext>
          </a:extLst>
        </xdr:cNvPr>
        <xdr:cNvSpPr>
          <a:spLocks noChangeShapeType="1"/>
        </xdr:cNvSpPr>
      </xdr:nvSpPr>
      <xdr:spPr bwMode="auto">
        <a:xfrm>
          <a:off x="121348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7" name="Line 67">
          <a:extLst>
            <a:ext uri="{FF2B5EF4-FFF2-40B4-BE49-F238E27FC236}">
              <a16:creationId xmlns:a16="http://schemas.microsoft.com/office/drawing/2014/main" id="{00000000-0008-0000-0500-000043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8" name="Line 68">
          <a:extLst>
            <a:ext uri="{FF2B5EF4-FFF2-40B4-BE49-F238E27FC236}">
              <a16:creationId xmlns:a16="http://schemas.microsoft.com/office/drawing/2014/main" id="{00000000-0008-0000-0500-000044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69" name="Line 69">
          <a:extLst>
            <a:ext uri="{FF2B5EF4-FFF2-40B4-BE49-F238E27FC236}">
              <a16:creationId xmlns:a16="http://schemas.microsoft.com/office/drawing/2014/main" id="{00000000-0008-0000-0500-000045000000}"/>
            </a:ext>
          </a:extLst>
        </xdr:cNvPr>
        <xdr:cNvSpPr>
          <a:spLocks noChangeShapeType="1"/>
        </xdr:cNvSpPr>
      </xdr:nvSpPr>
      <xdr:spPr bwMode="auto">
        <a:xfrm flipV="1">
          <a:off x="104775" y="955675"/>
          <a:ext cx="41275" cy="1047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70" name="Line 70">
          <a:extLst>
            <a:ext uri="{FF2B5EF4-FFF2-40B4-BE49-F238E27FC236}">
              <a16:creationId xmlns:a16="http://schemas.microsoft.com/office/drawing/2014/main" id="{00000000-0008-0000-0500-000046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1" name="Line 71">
          <a:extLst>
            <a:ext uri="{FF2B5EF4-FFF2-40B4-BE49-F238E27FC236}">
              <a16:creationId xmlns:a16="http://schemas.microsoft.com/office/drawing/2014/main" id="{00000000-0008-0000-0500-000047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00000000-0008-0000-0500-000048000000}"/>
            </a:ext>
          </a:extLst>
        </xdr:cNvPr>
        <xdr:cNvSpPr>
          <a:spLocks noChangeShapeType="1"/>
        </xdr:cNvSpPr>
      </xdr:nvSpPr>
      <xdr:spPr bwMode="auto">
        <a:xfrm flipH="1">
          <a:off x="9525" y="2476500"/>
          <a:ext cx="1270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6</xdr:col>
      <xdr:colOff>0</xdr:colOff>
      <xdr:row>6</xdr:row>
      <xdr:rowOff>0</xdr:rowOff>
    </xdr:to>
    <xdr:sp macro="" textlink="">
      <xdr:nvSpPr>
        <xdr:cNvPr id="74" name="Line 74">
          <a:extLst>
            <a:ext uri="{FF2B5EF4-FFF2-40B4-BE49-F238E27FC236}">
              <a16:creationId xmlns:a16="http://schemas.microsoft.com/office/drawing/2014/main" id="{00000000-0008-0000-0500-00004A000000}"/>
            </a:ext>
          </a:extLst>
        </xdr:cNvPr>
        <xdr:cNvSpPr>
          <a:spLocks noChangeShapeType="1"/>
        </xdr:cNvSpPr>
      </xdr:nvSpPr>
      <xdr:spPr bwMode="auto">
        <a:xfrm>
          <a:off x="9525" y="2476500"/>
          <a:ext cx="1171575" cy="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57150</xdr:rowOff>
        </xdr:from>
        <xdr:to>
          <xdr:col>0</xdr:col>
          <xdr:colOff>0</xdr:colOff>
          <xdr:row>36</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209550</xdr:rowOff>
        </xdr:from>
        <xdr:to>
          <xdr:col>8</xdr:col>
          <xdr:colOff>1619250</xdr:colOff>
          <xdr:row>0</xdr:row>
          <xdr:rowOff>342900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1409700</xdr:colOff>
          <xdr:row>1</xdr:row>
          <xdr:rowOff>19050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1200150</xdr:colOff>
          <xdr:row>0</xdr:row>
          <xdr:rowOff>361950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361950</xdr:rowOff>
        </xdr:from>
        <xdr:to>
          <xdr:col>9</xdr:col>
          <xdr:colOff>1428750</xdr:colOff>
          <xdr:row>1</xdr:row>
          <xdr:rowOff>19050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twoCellAnchor>
    <xdr:from>
      <xdr:col>1</xdr:col>
      <xdr:colOff>9525</xdr:colOff>
      <xdr:row>6</xdr:row>
      <xdr:rowOff>0</xdr:rowOff>
    </xdr:from>
    <xdr:to>
      <xdr:col>6</xdr:col>
      <xdr:colOff>0</xdr:colOff>
      <xdr:row>6</xdr:row>
      <xdr:rowOff>0</xdr:rowOff>
    </xdr:to>
    <xdr:sp macro="" textlink="">
      <xdr:nvSpPr>
        <xdr:cNvPr id="77" name="Line 70">
          <a:extLst>
            <a:ext uri="{FF2B5EF4-FFF2-40B4-BE49-F238E27FC236}">
              <a16:creationId xmlns:a16="http://schemas.microsoft.com/office/drawing/2014/main" id="{00000000-0008-0000-0500-00004D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8" name="Line 71">
          <a:extLst>
            <a:ext uri="{FF2B5EF4-FFF2-40B4-BE49-F238E27FC236}">
              <a16:creationId xmlns:a16="http://schemas.microsoft.com/office/drawing/2014/main" id="{00000000-0008-0000-0500-00004E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flipV="1">
          <a:off x="1460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3" name="Line 2">
          <a:extLst>
            <a:ext uri="{FF2B5EF4-FFF2-40B4-BE49-F238E27FC236}">
              <a16:creationId xmlns:a16="http://schemas.microsoft.com/office/drawing/2014/main" id="{00000000-0008-0000-0600-000003000000}"/>
            </a:ext>
          </a:extLst>
        </xdr:cNvPr>
        <xdr:cNvSpPr>
          <a:spLocks noChangeShapeType="1"/>
        </xdr:cNvSpPr>
      </xdr:nvSpPr>
      <xdr:spPr bwMode="auto">
        <a:xfrm>
          <a:off x="136525" y="0"/>
          <a:ext cx="104457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4" name="Line 3">
          <a:extLst>
            <a:ext uri="{FF2B5EF4-FFF2-40B4-BE49-F238E27FC236}">
              <a16:creationId xmlns:a16="http://schemas.microsoft.com/office/drawing/2014/main" id="{00000000-0008-0000-0600-000004000000}"/>
            </a:ext>
          </a:extLst>
        </xdr:cNvPr>
        <xdr:cNvSpPr>
          <a:spLocks noChangeShapeType="1"/>
        </xdr:cNvSpPr>
      </xdr:nvSpPr>
      <xdr:spPr bwMode="auto">
        <a:xfrm>
          <a:off x="127000" y="0"/>
          <a:ext cx="10541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 name="Line 4">
          <a:extLst>
            <a:ext uri="{FF2B5EF4-FFF2-40B4-BE49-F238E27FC236}">
              <a16:creationId xmlns:a16="http://schemas.microsoft.com/office/drawing/2014/main" id="{00000000-0008-0000-0600-000005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00000000-0008-0000-0600-000006000000}"/>
            </a:ext>
          </a:extLst>
        </xdr:cNvPr>
        <xdr:cNvSpPr>
          <a:spLocks noChangeShapeType="1"/>
        </xdr:cNvSpPr>
      </xdr:nvSpPr>
      <xdr:spPr bwMode="auto">
        <a:xfrm flipH="1">
          <a:off x="9525" y="0"/>
          <a:ext cx="1270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7" name="Line 6">
          <a:extLst>
            <a:ext uri="{FF2B5EF4-FFF2-40B4-BE49-F238E27FC236}">
              <a16:creationId xmlns:a16="http://schemas.microsoft.com/office/drawing/2014/main" id="{00000000-0008-0000-0600-000007000000}"/>
            </a:ext>
          </a:extLst>
        </xdr:cNvPr>
        <xdr:cNvSpPr>
          <a:spLocks noChangeShapeType="1"/>
        </xdr:cNvSpPr>
      </xdr:nvSpPr>
      <xdr:spPr bwMode="auto">
        <a:xfrm flipH="1">
          <a:off x="118110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8" name="Line 7">
          <a:extLst>
            <a:ext uri="{FF2B5EF4-FFF2-40B4-BE49-F238E27FC236}">
              <a16:creationId xmlns:a16="http://schemas.microsoft.com/office/drawing/2014/main" id="{00000000-0008-0000-0600-000008000000}"/>
            </a:ext>
          </a:extLst>
        </xdr:cNvPr>
        <xdr:cNvSpPr>
          <a:spLocks noChangeShapeType="1"/>
        </xdr:cNvSpPr>
      </xdr:nvSpPr>
      <xdr:spPr bwMode="auto">
        <a:xfrm flipV="1">
          <a:off x="118110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00000000-0008-0000-0600-000009000000}"/>
            </a:ext>
          </a:extLst>
        </xdr:cNvPr>
        <xdr:cNvSpPr>
          <a:spLocks noChangeShapeType="1"/>
        </xdr:cNvSpPr>
      </xdr:nvSpPr>
      <xdr:spPr bwMode="auto">
        <a:xfrm>
          <a:off x="1270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 name="Line 9">
          <a:extLst>
            <a:ext uri="{FF2B5EF4-FFF2-40B4-BE49-F238E27FC236}">
              <a16:creationId xmlns:a16="http://schemas.microsoft.com/office/drawing/2014/main" id="{00000000-0008-0000-0600-00000A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1" name="Line 10">
          <a:extLst>
            <a:ext uri="{FF2B5EF4-FFF2-40B4-BE49-F238E27FC236}">
              <a16:creationId xmlns:a16="http://schemas.microsoft.com/office/drawing/2014/main" id="{00000000-0008-0000-0600-00000B000000}"/>
            </a:ext>
          </a:extLst>
        </xdr:cNvPr>
        <xdr:cNvSpPr>
          <a:spLocks noChangeShapeType="1"/>
        </xdr:cNvSpPr>
      </xdr:nvSpPr>
      <xdr:spPr bwMode="auto">
        <a:xfrm>
          <a:off x="0" y="0"/>
          <a:ext cx="122967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2" name="Line 11">
          <a:extLst>
            <a:ext uri="{FF2B5EF4-FFF2-40B4-BE49-F238E27FC236}">
              <a16:creationId xmlns:a16="http://schemas.microsoft.com/office/drawing/2014/main" id="{00000000-0008-0000-0600-00000C000000}"/>
            </a:ext>
          </a:extLst>
        </xdr:cNvPr>
        <xdr:cNvSpPr>
          <a:spLocks noChangeShapeType="1"/>
        </xdr:cNvSpPr>
      </xdr:nvSpPr>
      <xdr:spPr bwMode="auto">
        <a:xfrm flipH="1">
          <a:off x="19050" y="0"/>
          <a:ext cx="155765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3" name="Line 12">
          <a:extLst>
            <a:ext uri="{FF2B5EF4-FFF2-40B4-BE49-F238E27FC236}">
              <a16:creationId xmlns:a16="http://schemas.microsoft.com/office/drawing/2014/main" id="{00000000-0008-0000-0600-00000D000000}"/>
            </a:ext>
          </a:extLst>
        </xdr:cNvPr>
        <xdr:cNvSpPr>
          <a:spLocks noChangeShapeType="1"/>
        </xdr:cNvSpPr>
      </xdr:nvSpPr>
      <xdr:spPr bwMode="auto">
        <a:xfrm>
          <a:off x="9525" y="0"/>
          <a:ext cx="117157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4" name="Line 13">
          <a:extLst>
            <a:ext uri="{FF2B5EF4-FFF2-40B4-BE49-F238E27FC236}">
              <a16:creationId xmlns:a16="http://schemas.microsoft.com/office/drawing/2014/main" id="{00000000-0008-0000-0600-00000E000000}"/>
            </a:ext>
          </a:extLst>
        </xdr:cNvPr>
        <xdr:cNvSpPr>
          <a:spLocks noChangeShapeType="1"/>
        </xdr:cNvSpPr>
      </xdr:nvSpPr>
      <xdr:spPr bwMode="auto">
        <a:xfrm flipH="1"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00000000-0008-0000-0600-00000F00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6" name="Line 15">
          <a:extLst>
            <a:ext uri="{FF2B5EF4-FFF2-40B4-BE49-F238E27FC236}">
              <a16:creationId xmlns:a16="http://schemas.microsoft.com/office/drawing/2014/main" id="{00000000-0008-0000-0600-000010000000}"/>
            </a:ext>
          </a:extLst>
        </xdr:cNvPr>
        <xdr:cNvSpPr>
          <a:spLocks noChangeShapeType="1"/>
        </xdr:cNvSpPr>
      </xdr:nvSpPr>
      <xdr:spPr bwMode="auto">
        <a:xfrm>
          <a:off x="0" y="0"/>
          <a:ext cx="1559560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7" name="Line 16">
          <a:extLst>
            <a:ext uri="{FF2B5EF4-FFF2-40B4-BE49-F238E27FC236}">
              <a16:creationId xmlns:a16="http://schemas.microsoft.com/office/drawing/2014/main" id="{00000000-0008-0000-0600-000011000000}"/>
            </a:ext>
          </a:extLst>
        </xdr:cNvPr>
        <xdr:cNvSpPr>
          <a:spLocks noChangeShapeType="1"/>
        </xdr:cNvSpPr>
      </xdr:nvSpPr>
      <xdr:spPr bwMode="auto">
        <a:xfrm flipH="1" flipV="1">
          <a:off x="155956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8" name="Line 17">
          <a:extLst>
            <a:ext uri="{FF2B5EF4-FFF2-40B4-BE49-F238E27FC236}">
              <a16:creationId xmlns:a16="http://schemas.microsoft.com/office/drawing/2014/main" id="{00000000-0008-0000-0600-000012000000}"/>
            </a:ext>
          </a:extLst>
        </xdr:cNvPr>
        <xdr:cNvSpPr>
          <a:spLocks noChangeShapeType="1"/>
        </xdr:cNvSpPr>
      </xdr:nvSpPr>
      <xdr:spPr bwMode="auto">
        <a:xfrm flipH="1" flipV="1">
          <a:off x="0" y="0"/>
          <a:ext cx="152336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00000000-0008-0000-0600-00001300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20" name="Line 19">
          <a:extLst>
            <a:ext uri="{FF2B5EF4-FFF2-40B4-BE49-F238E27FC236}">
              <a16:creationId xmlns:a16="http://schemas.microsoft.com/office/drawing/2014/main" id="{00000000-0008-0000-0600-000014000000}"/>
            </a:ext>
          </a:extLst>
        </xdr:cNvPr>
        <xdr:cNvSpPr>
          <a:spLocks noChangeShapeType="1"/>
        </xdr:cNvSpPr>
      </xdr:nvSpPr>
      <xdr:spPr bwMode="auto">
        <a:xfrm>
          <a:off x="1200150" y="0"/>
          <a:ext cx="11290300"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21" name="Line 20">
          <a:extLst>
            <a:ext uri="{FF2B5EF4-FFF2-40B4-BE49-F238E27FC236}">
              <a16:creationId xmlns:a16="http://schemas.microsoft.com/office/drawing/2014/main" id="{00000000-0008-0000-0600-000015000000}"/>
            </a:ext>
          </a:extLst>
        </xdr:cNvPr>
        <xdr:cNvSpPr>
          <a:spLocks noChangeShapeType="1"/>
        </xdr:cNvSpPr>
      </xdr:nvSpPr>
      <xdr:spPr bwMode="auto">
        <a:xfrm>
          <a:off x="984250" y="0"/>
          <a:ext cx="142049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22" name="Line 21">
          <a:extLst>
            <a:ext uri="{FF2B5EF4-FFF2-40B4-BE49-F238E27FC236}">
              <a16:creationId xmlns:a16="http://schemas.microsoft.com/office/drawing/2014/main" id="{00000000-0008-0000-0600-000016000000}"/>
            </a:ext>
          </a:extLst>
        </xdr:cNvPr>
        <xdr:cNvSpPr>
          <a:spLocks noChangeShapeType="1"/>
        </xdr:cNvSpPr>
      </xdr:nvSpPr>
      <xdr:spPr bwMode="auto">
        <a:xfrm>
          <a:off x="19050" y="0"/>
          <a:ext cx="14284325"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23" name="Line 22">
          <a:extLst>
            <a:ext uri="{FF2B5EF4-FFF2-40B4-BE49-F238E27FC236}">
              <a16:creationId xmlns:a16="http://schemas.microsoft.com/office/drawing/2014/main" id="{00000000-0008-0000-0600-000017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24" name="Line 23">
          <a:extLst>
            <a:ext uri="{FF2B5EF4-FFF2-40B4-BE49-F238E27FC236}">
              <a16:creationId xmlns:a16="http://schemas.microsoft.com/office/drawing/2014/main" id="{00000000-0008-0000-0600-000018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5" name="Line 24">
          <a:extLst>
            <a:ext uri="{FF2B5EF4-FFF2-40B4-BE49-F238E27FC236}">
              <a16:creationId xmlns:a16="http://schemas.microsoft.com/office/drawing/2014/main" id="{00000000-0008-0000-0600-000019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26" name="Line 25">
          <a:extLst>
            <a:ext uri="{FF2B5EF4-FFF2-40B4-BE49-F238E27FC236}">
              <a16:creationId xmlns:a16="http://schemas.microsoft.com/office/drawing/2014/main" id="{00000000-0008-0000-0600-00001A000000}"/>
            </a:ext>
          </a:extLst>
        </xdr:cNvPr>
        <xdr:cNvSpPr>
          <a:spLocks noChangeShapeType="1"/>
        </xdr:cNvSpPr>
      </xdr:nvSpPr>
      <xdr:spPr bwMode="auto">
        <a:xfrm>
          <a:off x="12372975"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27" name="Line 26">
          <a:extLst>
            <a:ext uri="{FF2B5EF4-FFF2-40B4-BE49-F238E27FC236}">
              <a16:creationId xmlns:a16="http://schemas.microsoft.com/office/drawing/2014/main" id="{00000000-0008-0000-0600-00001B000000}"/>
            </a:ext>
          </a:extLst>
        </xdr:cNvPr>
        <xdr:cNvSpPr>
          <a:spLocks noChangeShapeType="1"/>
        </xdr:cNvSpPr>
      </xdr:nvSpPr>
      <xdr:spPr bwMode="auto">
        <a:xfrm>
          <a:off x="12201525" y="0"/>
          <a:ext cx="2997200"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28" name="Line 27">
          <a:extLst>
            <a:ext uri="{FF2B5EF4-FFF2-40B4-BE49-F238E27FC236}">
              <a16:creationId xmlns:a16="http://schemas.microsoft.com/office/drawing/2014/main" id="{00000000-0008-0000-0600-00001C000000}"/>
            </a:ext>
          </a:extLst>
        </xdr:cNvPr>
        <xdr:cNvSpPr>
          <a:spLocks noChangeShapeType="1"/>
        </xdr:cNvSpPr>
      </xdr:nvSpPr>
      <xdr:spPr bwMode="auto">
        <a:xfrm>
          <a:off x="11055350" y="0"/>
          <a:ext cx="143510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29" name="Line 28">
          <a:extLst>
            <a:ext uri="{FF2B5EF4-FFF2-40B4-BE49-F238E27FC236}">
              <a16:creationId xmlns:a16="http://schemas.microsoft.com/office/drawing/2014/main" id="{00000000-0008-0000-0600-00001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30" name="Line 29">
          <a:extLst>
            <a:ext uri="{FF2B5EF4-FFF2-40B4-BE49-F238E27FC236}">
              <a16:creationId xmlns:a16="http://schemas.microsoft.com/office/drawing/2014/main" id="{00000000-0008-0000-0600-00001E000000}"/>
            </a:ext>
          </a:extLst>
        </xdr:cNvPr>
        <xdr:cNvSpPr>
          <a:spLocks noChangeShapeType="1"/>
        </xdr:cNvSpPr>
      </xdr:nvSpPr>
      <xdr:spPr bwMode="auto">
        <a:xfrm>
          <a:off x="11312525"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31" name="Line 30">
          <a:extLst>
            <a:ext uri="{FF2B5EF4-FFF2-40B4-BE49-F238E27FC236}">
              <a16:creationId xmlns:a16="http://schemas.microsoft.com/office/drawing/2014/main" id="{00000000-0008-0000-0600-00001F000000}"/>
            </a:ext>
          </a:extLst>
        </xdr:cNvPr>
        <xdr:cNvSpPr>
          <a:spLocks noChangeShapeType="1"/>
        </xdr:cNvSpPr>
      </xdr:nvSpPr>
      <xdr:spPr bwMode="auto">
        <a:xfrm>
          <a:off x="14293850" y="0"/>
          <a:ext cx="1301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32" name="Line 31">
          <a:extLst>
            <a:ext uri="{FF2B5EF4-FFF2-40B4-BE49-F238E27FC236}">
              <a16:creationId xmlns:a16="http://schemas.microsoft.com/office/drawing/2014/main" id="{00000000-0008-0000-0600-000020000000}"/>
            </a:ext>
          </a:extLst>
        </xdr:cNvPr>
        <xdr:cNvSpPr>
          <a:spLocks noChangeShapeType="1"/>
        </xdr:cNvSpPr>
      </xdr:nvSpPr>
      <xdr:spPr bwMode="auto">
        <a:xfrm>
          <a:off x="1213485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3" name="Line 32">
          <a:extLst>
            <a:ext uri="{FF2B5EF4-FFF2-40B4-BE49-F238E27FC236}">
              <a16:creationId xmlns:a16="http://schemas.microsoft.com/office/drawing/2014/main" id="{00000000-0008-0000-0600-000021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4" name="Line 33">
          <a:extLst>
            <a:ext uri="{FF2B5EF4-FFF2-40B4-BE49-F238E27FC236}">
              <a16:creationId xmlns:a16="http://schemas.microsoft.com/office/drawing/2014/main" id="{00000000-0008-0000-0600-000022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5" name="Line 34">
          <a:extLst>
            <a:ext uri="{FF2B5EF4-FFF2-40B4-BE49-F238E27FC236}">
              <a16:creationId xmlns:a16="http://schemas.microsoft.com/office/drawing/2014/main" id="{00000000-0008-0000-0600-000023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6" name="Line 35">
          <a:extLst>
            <a:ext uri="{FF2B5EF4-FFF2-40B4-BE49-F238E27FC236}">
              <a16:creationId xmlns:a16="http://schemas.microsoft.com/office/drawing/2014/main" id="{00000000-0008-0000-0600-000024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37" name="Line 36">
          <a:extLst>
            <a:ext uri="{FF2B5EF4-FFF2-40B4-BE49-F238E27FC236}">
              <a16:creationId xmlns:a16="http://schemas.microsoft.com/office/drawing/2014/main" id="{00000000-0008-0000-0600-000025000000}"/>
            </a:ext>
          </a:extLst>
        </xdr:cNvPr>
        <xdr:cNvSpPr>
          <a:spLocks noChangeShapeType="1"/>
        </xdr:cNvSpPr>
      </xdr:nvSpPr>
      <xdr:spPr bwMode="auto">
        <a:xfrm>
          <a:off x="12144375" y="0"/>
          <a:ext cx="3451225"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38" name="Line 37">
          <a:extLst>
            <a:ext uri="{FF2B5EF4-FFF2-40B4-BE49-F238E27FC236}">
              <a16:creationId xmlns:a16="http://schemas.microsoft.com/office/drawing/2014/main" id="{00000000-0008-0000-0600-000026000000}"/>
            </a:ext>
          </a:extLst>
        </xdr:cNvPr>
        <xdr:cNvSpPr>
          <a:spLocks noChangeShapeType="1"/>
        </xdr:cNvSpPr>
      </xdr:nvSpPr>
      <xdr:spPr bwMode="auto">
        <a:xfrm>
          <a:off x="1274762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39" name="Line 38">
          <a:extLst>
            <a:ext uri="{FF2B5EF4-FFF2-40B4-BE49-F238E27FC236}">
              <a16:creationId xmlns:a16="http://schemas.microsoft.com/office/drawing/2014/main" id="{00000000-0008-0000-0600-000027000000}"/>
            </a:ext>
          </a:extLst>
        </xdr:cNvPr>
        <xdr:cNvSpPr>
          <a:spLocks noChangeShapeType="1"/>
        </xdr:cNvSpPr>
      </xdr:nvSpPr>
      <xdr:spPr bwMode="auto">
        <a:xfrm flipH="1">
          <a:off x="14693900"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0" name="Line 39">
          <a:extLst>
            <a:ext uri="{FF2B5EF4-FFF2-40B4-BE49-F238E27FC236}">
              <a16:creationId xmlns:a16="http://schemas.microsoft.com/office/drawing/2014/main" id="{00000000-0008-0000-0600-000028000000}"/>
            </a:ext>
          </a:extLst>
        </xdr:cNvPr>
        <xdr:cNvSpPr>
          <a:spLocks noChangeShapeType="1"/>
        </xdr:cNvSpPr>
      </xdr:nvSpPr>
      <xdr:spPr bwMode="auto">
        <a:xfrm flipV="1">
          <a:off x="1469390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1" name="Line 40">
          <a:extLst>
            <a:ext uri="{FF2B5EF4-FFF2-40B4-BE49-F238E27FC236}">
              <a16:creationId xmlns:a16="http://schemas.microsoft.com/office/drawing/2014/main" id="{00000000-0008-0000-0600-000029000000}"/>
            </a:ext>
          </a:extLst>
        </xdr:cNvPr>
        <xdr:cNvSpPr>
          <a:spLocks noChangeShapeType="1"/>
        </xdr:cNvSpPr>
      </xdr:nvSpPr>
      <xdr:spPr bwMode="auto">
        <a:xfrm>
          <a:off x="14693900"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42" name="Line 41">
          <a:extLst>
            <a:ext uri="{FF2B5EF4-FFF2-40B4-BE49-F238E27FC236}">
              <a16:creationId xmlns:a16="http://schemas.microsoft.com/office/drawing/2014/main" id="{00000000-0008-0000-0600-00002A000000}"/>
            </a:ext>
          </a:extLst>
        </xdr:cNvPr>
        <xdr:cNvSpPr>
          <a:spLocks noChangeShapeType="1"/>
        </xdr:cNvSpPr>
      </xdr:nvSpPr>
      <xdr:spPr bwMode="auto">
        <a:xfrm>
          <a:off x="13303250"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43" name="Line 42">
          <a:extLst>
            <a:ext uri="{FF2B5EF4-FFF2-40B4-BE49-F238E27FC236}">
              <a16:creationId xmlns:a16="http://schemas.microsoft.com/office/drawing/2014/main" id="{00000000-0008-0000-0600-00002B000000}"/>
            </a:ext>
          </a:extLst>
        </xdr:cNvPr>
        <xdr:cNvSpPr>
          <a:spLocks noChangeShapeType="1"/>
        </xdr:cNvSpPr>
      </xdr:nvSpPr>
      <xdr:spPr bwMode="auto">
        <a:xfrm>
          <a:off x="15141575"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44" name="Line 43">
          <a:extLst>
            <a:ext uri="{FF2B5EF4-FFF2-40B4-BE49-F238E27FC236}">
              <a16:creationId xmlns:a16="http://schemas.microsoft.com/office/drawing/2014/main" id="{00000000-0008-0000-0600-00002C000000}"/>
            </a:ext>
          </a:extLst>
        </xdr:cNvPr>
        <xdr:cNvSpPr>
          <a:spLocks noChangeShapeType="1"/>
        </xdr:cNvSpPr>
      </xdr:nvSpPr>
      <xdr:spPr bwMode="auto">
        <a:xfrm>
          <a:off x="6321425" y="0"/>
          <a:ext cx="295275"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45" name="Line 44">
          <a:extLst>
            <a:ext uri="{FF2B5EF4-FFF2-40B4-BE49-F238E27FC236}">
              <a16:creationId xmlns:a16="http://schemas.microsoft.com/office/drawing/2014/main" id="{00000000-0008-0000-0600-00002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46" name="Line 45">
          <a:extLst>
            <a:ext uri="{FF2B5EF4-FFF2-40B4-BE49-F238E27FC236}">
              <a16:creationId xmlns:a16="http://schemas.microsoft.com/office/drawing/2014/main" id="{00000000-0008-0000-0600-00002E000000}"/>
            </a:ext>
          </a:extLst>
        </xdr:cNvPr>
        <xdr:cNvSpPr>
          <a:spLocks noChangeShapeType="1"/>
        </xdr:cNvSpPr>
      </xdr:nvSpPr>
      <xdr:spPr bwMode="auto">
        <a:xfrm>
          <a:off x="10769600" y="0"/>
          <a:ext cx="26670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47" name="Line 46">
          <a:extLst>
            <a:ext uri="{FF2B5EF4-FFF2-40B4-BE49-F238E27FC236}">
              <a16:creationId xmlns:a16="http://schemas.microsoft.com/office/drawing/2014/main" id="{00000000-0008-0000-0600-00002F000000}"/>
            </a:ext>
          </a:extLst>
        </xdr:cNvPr>
        <xdr:cNvSpPr>
          <a:spLocks noChangeShapeType="1"/>
        </xdr:cNvSpPr>
      </xdr:nvSpPr>
      <xdr:spPr bwMode="auto">
        <a:xfrm>
          <a:off x="6321425" y="0"/>
          <a:ext cx="4543425"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48" name="Line 47">
          <a:extLst>
            <a:ext uri="{FF2B5EF4-FFF2-40B4-BE49-F238E27FC236}">
              <a16:creationId xmlns:a16="http://schemas.microsoft.com/office/drawing/2014/main" id="{00000000-0008-0000-0600-000030000000}"/>
            </a:ext>
          </a:extLst>
        </xdr:cNvPr>
        <xdr:cNvSpPr>
          <a:spLocks noChangeShapeType="1"/>
        </xdr:cNvSpPr>
      </xdr:nvSpPr>
      <xdr:spPr bwMode="auto">
        <a:xfrm>
          <a:off x="10798175" y="0"/>
          <a:ext cx="91440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00000000-0008-0000-0600-000031000000}"/>
            </a:ext>
          </a:extLst>
        </xdr:cNvPr>
        <xdr:cNvSpPr>
          <a:spLocks noChangeShapeType="1"/>
        </xdr:cNvSpPr>
      </xdr:nvSpPr>
      <xdr:spPr bwMode="auto">
        <a:xfrm>
          <a:off x="39370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50" name="Line 50">
          <a:extLst>
            <a:ext uri="{FF2B5EF4-FFF2-40B4-BE49-F238E27FC236}">
              <a16:creationId xmlns:a16="http://schemas.microsoft.com/office/drawing/2014/main" id="{00000000-0008-0000-0600-000032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51" name="Line 51">
          <a:extLst>
            <a:ext uri="{FF2B5EF4-FFF2-40B4-BE49-F238E27FC236}">
              <a16:creationId xmlns:a16="http://schemas.microsoft.com/office/drawing/2014/main" id="{00000000-0008-0000-0600-000033000000}"/>
            </a:ext>
          </a:extLst>
        </xdr:cNvPr>
        <xdr:cNvSpPr>
          <a:spLocks noChangeShapeType="1"/>
        </xdr:cNvSpPr>
      </xdr:nvSpPr>
      <xdr:spPr bwMode="auto">
        <a:xfrm>
          <a:off x="1644650" y="0"/>
          <a:ext cx="850900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52" name="Line 52">
          <a:extLst>
            <a:ext uri="{FF2B5EF4-FFF2-40B4-BE49-F238E27FC236}">
              <a16:creationId xmlns:a16="http://schemas.microsoft.com/office/drawing/2014/main" id="{00000000-0008-0000-0600-000034000000}"/>
            </a:ext>
          </a:extLst>
        </xdr:cNvPr>
        <xdr:cNvSpPr>
          <a:spLocks noChangeShapeType="1"/>
        </xdr:cNvSpPr>
      </xdr:nvSpPr>
      <xdr:spPr bwMode="auto">
        <a:xfrm flipH="1">
          <a:off x="5153025"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53" name="Line 53">
          <a:extLst>
            <a:ext uri="{FF2B5EF4-FFF2-40B4-BE49-F238E27FC236}">
              <a16:creationId xmlns:a16="http://schemas.microsoft.com/office/drawing/2014/main" id="{00000000-0008-0000-0600-000035000000}"/>
            </a:ext>
          </a:extLst>
        </xdr:cNvPr>
        <xdr:cNvSpPr>
          <a:spLocks noChangeShapeType="1"/>
        </xdr:cNvSpPr>
      </xdr:nvSpPr>
      <xdr:spPr bwMode="auto">
        <a:xfrm>
          <a:off x="6616700"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54" name="Line 54">
          <a:extLst>
            <a:ext uri="{FF2B5EF4-FFF2-40B4-BE49-F238E27FC236}">
              <a16:creationId xmlns:a16="http://schemas.microsoft.com/office/drawing/2014/main" id="{00000000-0008-0000-0600-000036000000}"/>
            </a:ext>
          </a:extLst>
        </xdr:cNvPr>
        <xdr:cNvSpPr>
          <a:spLocks noChangeShapeType="1"/>
        </xdr:cNvSpPr>
      </xdr:nvSpPr>
      <xdr:spPr bwMode="auto">
        <a:xfrm>
          <a:off x="5172075" y="0"/>
          <a:ext cx="144462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55" name="Line 55">
          <a:extLst>
            <a:ext uri="{FF2B5EF4-FFF2-40B4-BE49-F238E27FC236}">
              <a16:creationId xmlns:a16="http://schemas.microsoft.com/office/drawing/2014/main" id="{00000000-0008-0000-0600-000037000000}"/>
            </a:ext>
          </a:extLst>
        </xdr:cNvPr>
        <xdr:cNvSpPr>
          <a:spLocks noChangeShapeType="1"/>
        </xdr:cNvSpPr>
      </xdr:nvSpPr>
      <xdr:spPr bwMode="auto">
        <a:xfrm>
          <a:off x="575945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6" name="Line 56">
          <a:extLst>
            <a:ext uri="{FF2B5EF4-FFF2-40B4-BE49-F238E27FC236}">
              <a16:creationId xmlns:a16="http://schemas.microsoft.com/office/drawing/2014/main" id="{00000000-0008-0000-0600-000038000000}"/>
            </a:ext>
          </a:extLst>
        </xdr:cNvPr>
        <xdr:cNvSpPr>
          <a:spLocks noChangeShapeType="1"/>
        </xdr:cNvSpPr>
      </xdr:nvSpPr>
      <xdr:spPr bwMode="auto">
        <a:xfrm>
          <a:off x="902335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57" name="Line 57">
          <a:extLst>
            <a:ext uri="{FF2B5EF4-FFF2-40B4-BE49-F238E27FC236}">
              <a16:creationId xmlns:a16="http://schemas.microsoft.com/office/drawing/2014/main" id="{00000000-0008-0000-0600-000039000000}"/>
            </a:ext>
          </a:extLst>
        </xdr:cNvPr>
        <xdr:cNvSpPr>
          <a:spLocks noChangeShapeType="1"/>
        </xdr:cNvSpPr>
      </xdr:nvSpPr>
      <xdr:spPr bwMode="auto">
        <a:xfrm>
          <a:off x="110363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58" name="Line 58">
          <a:extLst>
            <a:ext uri="{FF2B5EF4-FFF2-40B4-BE49-F238E27FC236}">
              <a16:creationId xmlns:a16="http://schemas.microsoft.com/office/drawing/2014/main" id="{00000000-0008-0000-0600-00003A000000}"/>
            </a:ext>
          </a:extLst>
        </xdr:cNvPr>
        <xdr:cNvSpPr>
          <a:spLocks noChangeShapeType="1"/>
        </xdr:cNvSpPr>
      </xdr:nvSpPr>
      <xdr:spPr bwMode="auto">
        <a:xfrm>
          <a:off x="1156970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59" name="Line 59">
          <a:extLst>
            <a:ext uri="{FF2B5EF4-FFF2-40B4-BE49-F238E27FC236}">
              <a16:creationId xmlns:a16="http://schemas.microsoft.com/office/drawing/2014/main" id="{00000000-0008-0000-0600-00003B000000}"/>
            </a:ext>
          </a:extLst>
        </xdr:cNvPr>
        <xdr:cNvSpPr>
          <a:spLocks noChangeShapeType="1"/>
        </xdr:cNvSpPr>
      </xdr:nvSpPr>
      <xdr:spPr bwMode="auto">
        <a:xfrm>
          <a:off x="11817350"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60" name="Line 60">
          <a:extLst>
            <a:ext uri="{FF2B5EF4-FFF2-40B4-BE49-F238E27FC236}">
              <a16:creationId xmlns:a16="http://schemas.microsoft.com/office/drawing/2014/main" id="{00000000-0008-0000-0600-00003C000000}"/>
            </a:ext>
          </a:extLst>
        </xdr:cNvPr>
        <xdr:cNvSpPr>
          <a:spLocks noChangeShapeType="1"/>
        </xdr:cNvSpPr>
      </xdr:nvSpPr>
      <xdr:spPr bwMode="auto">
        <a:xfrm>
          <a:off x="34480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1" name="Line 61">
          <a:extLst>
            <a:ext uri="{FF2B5EF4-FFF2-40B4-BE49-F238E27FC236}">
              <a16:creationId xmlns:a16="http://schemas.microsoft.com/office/drawing/2014/main" id="{00000000-0008-0000-0600-00003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62" name="Line 62">
          <a:extLst>
            <a:ext uri="{FF2B5EF4-FFF2-40B4-BE49-F238E27FC236}">
              <a16:creationId xmlns:a16="http://schemas.microsoft.com/office/drawing/2014/main" id="{00000000-0008-0000-0600-00003E000000}"/>
            </a:ext>
          </a:extLst>
        </xdr:cNvPr>
        <xdr:cNvSpPr>
          <a:spLocks noChangeShapeType="1"/>
        </xdr:cNvSpPr>
      </xdr:nvSpPr>
      <xdr:spPr bwMode="auto">
        <a:xfrm>
          <a:off x="11007725"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63" name="Line 63">
          <a:extLst>
            <a:ext uri="{FF2B5EF4-FFF2-40B4-BE49-F238E27FC236}">
              <a16:creationId xmlns:a16="http://schemas.microsoft.com/office/drawing/2014/main" id="{00000000-0008-0000-0600-00003F000000}"/>
            </a:ext>
          </a:extLst>
        </xdr:cNvPr>
        <xdr:cNvSpPr>
          <a:spLocks noChangeShapeType="1"/>
        </xdr:cNvSpPr>
      </xdr:nvSpPr>
      <xdr:spPr bwMode="auto">
        <a:xfrm>
          <a:off x="127381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64" name="Line 64">
          <a:extLst>
            <a:ext uri="{FF2B5EF4-FFF2-40B4-BE49-F238E27FC236}">
              <a16:creationId xmlns:a16="http://schemas.microsoft.com/office/drawing/2014/main" id="{00000000-0008-0000-0600-000040000000}"/>
            </a:ext>
          </a:extLst>
        </xdr:cNvPr>
        <xdr:cNvSpPr>
          <a:spLocks noChangeShapeType="1"/>
        </xdr:cNvSpPr>
      </xdr:nvSpPr>
      <xdr:spPr bwMode="auto">
        <a:xfrm>
          <a:off x="1156970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65" name="Line 65">
          <a:extLst>
            <a:ext uri="{FF2B5EF4-FFF2-40B4-BE49-F238E27FC236}">
              <a16:creationId xmlns:a16="http://schemas.microsoft.com/office/drawing/2014/main" id="{00000000-0008-0000-0600-000041000000}"/>
            </a:ext>
          </a:extLst>
        </xdr:cNvPr>
        <xdr:cNvSpPr>
          <a:spLocks noChangeShapeType="1"/>
        </xdr:cNvSpPr>
      </xdr:nvSpPr>
      <xdr:spPr bwMode="auto">
        <a:xfrm>
          <a:off x="1181735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66" name="Line 66">
          <a:extLst>
            <a:ext uri="{FF2B5EF4-FFF2-40B4-BE49-F238E27FC236}">
              <a16:creationId xmlns:a16="http://schemas.microsoft.com/office/drawing/2014/main" id="{00000000-0008-0000-0600-000042000000}"/>
            </a:ext>
          </a:extLst>
        </xdr:cNvPr>
        <xdr:cNvSpPr>
          <a:spLocks noChangeShapeType="1"/>
        </xdr:cNvSpPr>
      </xdr:nvSpPr>
      <xdr:spPr bwMode="auto">
        <a:xfrm>
          <a:off x="121348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7" name="Line 67">
          <a:extLst>
            <a:ext uri="{FF2B5EF4-FFF2-40B4-BE49-F238E27FC236}">
              <a16:creationId xmlns:a16="http://schemas.microsoft.com/office/drawing/2014/main" id="{00000000-0008-0000-0600-000043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8" name="Line 68">
          <a:extLst>
            <a:ext uri="{FF2B5EF4-FFF2-40B4-BE49-F238E27FC236}">
              <a16:creationId xmlns:a16="http://schemas.microsoft.com/office/drawing/2014/main" id="{00000000-0008-0000-0600-000044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69" name="Line 69">
          <a:extLst>
            <a:ext uri="{FF2B5EF4-FFF2-40B4-BE49-F238E27FC236}">
              <a16:creationId xmlns:a16="http://schemas.microsoft.com/office/drawing/2014/main" id="{00000000-0008-0000-0600-000045000000}"/>
            </a:ext>
          </a:extLst>
        </xdr:cNvPr>
        <xdr:cNvSpPr>
          <a:spLocks noChangeShapeType="1"/>
        </xdr:cNvSpPr>
      </xdr:nvSpPr>
      <xdr:spPr bwMode="auto">
        <a:xfrm flipV="1">
          <a:off x="104775" y="955675"/>
          <a:ext cx="41275" cy="1047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70" name="Line 70">
          <a:extLst>
            <a:ext uri="{FF2B5EF4-FFF2-40B4-BE49-F238E27FC236}">
              <a16:creationId xmlns:a16="http://schemas.microsoft.com/office/drawing/2014/main" id="{00000000-0008-0000-0600-000046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1" name="Line 71">
          <a:extLst>
            <a:ext uri="{FF2B5EF4-FFF2-40B4-BE49-F238E27FC236}">
              <a16:creationId xmlns:a16="http://schemas.microsoft.com/office/drawing/2014/main" id="{00000000-0008-0000-0600-000047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00000000-0008-0000-0600-000048000000}"/>
            </a:ext>
          </a:extLst>
        </xdr:cNvPr>
        <xdr:cNvSpPr>
          <a:spLocks noChangeShapeType="1"/>
        </xdr:cNvSpPr>
      </xdr:nvSpPr>
      <xdr:spPr bwMode="auto">
        <a:xfrm flipH="1">
          <a:off x="9525" y="2476500"/>
          <a:ext cx="1270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6</xdr:col>
      <xdr:colOff>0</xdr:colOff>
      <xdr:row>6</xdr:row>
      <xdr:rowOff>0</xdr:rowOff>
    </xdr:to>
    <xdr:sp macro="" textlink="">
      <xdr:nvSpPr>
        <xdr:cNvPr id="74" name="Line 74">
          <a:extLst>
            <a:ext uri="{FF2B5EF4-FFF2-40B4-BE49-F238E27FC236}">
              <a16:creationId xmlns:a16="http://schemas.microsoft.com/office/drawing/2014/main" id="{00000000-0008-0000-0600-00004A000000}"/>
            </a:ext>
          </a:extLst>
        </xdr:cNvPr>
        <xdr:cNvSpPr>
          <a:spLocks noChangeShapeType="1"/>
        </xdr:cNvSpPr>
      </xdr:nvSpPr>
      <xdr:spPr bwMode="auto">
        <a:xfrm>
          <a:off x="9525" y="2476500"/>
          <a:ext cx="1171575" cy="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57150</xdr:rowOff>
        </xdr:from>
        <xdr:to>
          <xdr:col>0</xdr:col>
          <xdr:colOff>0</xdr:colOff>
          <xdr:row>36</xdr:row>
          <xdr:rowOff>104775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209550</xdr:rowOff>
        </xdr:from>
        <xdr:to>
          <xdr:col>8</xdr:col>
          <xdr:colOff>1619250</xdr:colOff>
          <xdr:row>0</xdr:row>
          <xdr:rowOff>342900</xdr:rowOff>
        </xdr:to>
        <xdr:sp macro="" textlink="">
          <xdr:nvSpPr>
            <xdr:cNvPr id="10242" name="Check Box 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1409700</xdr:colOff>
          <xdr:row>1</xdr:row>
          <xdr:rowOff>19050</xdr:rowOff>
        </xdr:to>
        <xdr:sp macro="" textlink="">
          <xdr:nvSpPr>
            <xdr:cNvPr id="10243" name="Check Box 3"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1200150</xdr:colOff>
          <xdr:row>0</xdr:row>
          <xdr:rowOff>361950</xdr:rowOff>
        </xdr:to>
        <xdr:sp macro="" textlink="">
          <xdr:nvSpPr>
            <xdr:cNvPr id="10244" name="Check Box 4" hidden="1">
              <a:extLst>
                <a:ext uri="{63B3BB69-23CF-44E3-9099-C40C66FF867C}">
                  <a14:compatExt spid="_x0000_s10244"/>
                </a:ext>
                <a:ext uri="{FF2B5EF4-FFF2-40B4-BE49-F238E27FC236}">
                  <a16:creationId xmlns:a16="http://schemas.microsoft.com/office/drawing/2014/main" id="{00000000-0008-0000-0600-000004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361950</xdr:rowOff>
        </xdr:from>
        <xdr:to>
          <xdr:col>9</xdr:col>
          <xdr:colOff>1428750</xdr:colOff>
          <xdr:row>1</xdr:row>
          <xdr:rowOff>19050</xdr:rowOff>
        </xdr:to>
        <xdr:sp macro="" textlink="">
          <xdr:nvSpPr>
            <xdr:cNvPr id="10245" name="Check Box 5" hidden="1">
              <a:extLst>
                <a:ext uri="{63B3BB69-23CF-44E3-9099-C40C66FF867C}">
                  <a14:compatExt spid="_x0000_s10245"/>
                </a:ext>
                <a:ext uri="{FF2B5EF4-FFF2-40B4-BE49-F238E27FC236}">
                  <a16:creationId xmlns:a16="http://schemas.microsoft.com/office/drawing/2014/main" id="{00000000-0008-0000-0600-000005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twoCellAnchor>
    <xdr:from>
      <xdr:col>1</xdr:col>
      <xdr:colOff>9525</xdr:colOff>
      <xdr:row>6</xdr:row>
      <xdr:rowOff>0</xdr:rowOff>
    </xdr:from>
    <xdr:to>
      <xdr:col>6</xdr:col>
      <xdr:colOff>0</xdr:colOff>
      <xdr:row>6</xdr:row>
      <xdr:rowOff>0</xdr:rowOff>
    </xdr:to>
    <xdr:sp macro="" textlink="">
      <xdr:nvSpPr>
        <xdr:cNvPr id="77" name="Line 70">
          <a:extLst>
            <a:ext uri="{FF2B5EF4-FFF2-40B4-BE49-F238E27FC236}">
              <a16:creationId xmlns:a16="http://schemas.microsoft.com/office/drawing/2014/main" id="{00000000-0008-0000-0600-00004D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8" name="Line 71">
          <a:extLst>
            <a:ext uri="{FF2B5EF4-FFF2-40B4-BE49-F238E27FC236}">
              <a16:creationId xmlns:a16="http://schemas.microsoft.com/office/drawing/2014/main" id="{00000000-0008-0000-0600-00004E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00000000-0008-0000-0700-000002000000}"/>
            </a:ext>
          </a:extLst>
        </xdr:cNvPr>
        <xdr:cNvSpPr>
          <a:spLocks noChangeShapeType="1"/>
        </xdr:cNvSpPr>
      </xdr:nvSpPr>
      <xdr:spPr bwMode="auto">
        <a:xfrm flipV="1">
          <a:off x="1460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3" name="Line 2">
          <a:extLst>
            <a:ext uri="{FF2B5EF4-FFF2-40B4-BE49-F238E27FC236}">
              <a16:creationId xmlns:a16="http://schemas.microsoft.com/office/drawing/2014/main" id="{00000000-0008-0000-0700-000003000000}"/>
            </a:ext>
          </a:extLst>
        </xdr:cNvPr>
        <xdr:cNvSpPr>
          <a:spLocks noChangeShapeType="1"/>
        </xdr:cNvSpPr>
      </xdr:nvSpPr>
      <xdr:spPr bwMode="auto">
        <a:xfrm>
          <a:off x="136525" y="0"/>
          <a:ext cx="104457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4" name="Line 3">
          <a:extLst>
            <a:ext uri="{FF2B5EF4-FFF2-40B4-BE49-F238E27FC236}">
              <a16:creationId xmlns:a16="http://schemas.microsoft.com/office/drawing/2014/main" id="{00000000-0008-0000-0700-000004000000}"/>
            </a:ext>
          </a:extLst>
        </xdr:cNvPr>
        <xdr:cNvSpPr>
          <a:spLocks noChangeShapeType="1"/>
        </xdr:cNvSpPr>
      </xdr:nvSpPr>
      <xdr:spPr bwMode="auto">
        <a:xfrm>
          <a:off x="127000" y="0"/>
          <a:ext cx="10541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 name="Line 4">
          <a:extLst>
            <a:ext uri="{FF2B5EF4-FFF2-40B4-BE49-F238E27FC236}">
              <a16:creationId xmlns:a16="http://schemas.microsoft.com/office/drawing/2014/main" id="{00000000-0008-0000-0700-000005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00000000-0008-0000-0700-000006000000}"/>
            </a:ext>
          </a:extLst>
        </xdr:cNvPr>
        <xdr:cNvSpPr>
          <a:spLocks noChangeShapeType="1"/>
        </xdr:cNvSpPr>
      </xdr:nvSpPr>
      <xdr:spPr bwMode="auto">
        <a:xfrm flipH="1">
          <a:off x="9525" y="0"/>
          <a:ext cx="1270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7" name="Line 6">
          <a:extLst>
            <a:ext uri="{FF2B5EF4-FFF2-40B4-BE49-F238E27FC236}">
              <a16:creationId xmlns:a16="http://schemas.microsoft.com/office/drawing/2014/main" id="{00000000-0008-0000-0700-000007000000}"/>
            </a:ext>
          </a:extLst>
        </xdr:cNvPr>
        <xdr:cNvSpPr>
          <a:spLocks noChangeShapeType="1"/>
        </xdr:cNvSpPr>
      </xdr:nvSpPr>
      <xdr:spPr bwMode="auto">
        <a:xfrm flipH="1">
          <a:off x="118110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8" name="Line 7">
          <a:extLst>
            <a:ext uri="{FF2B5EF4-FFF2-40B4-BE49-F238E27FC236}">
              <a16:creationId xmlns:a16="http://schemas.microsoft.com/office/drawing/2014/main" id="{00000000-0008-0000-0700-000008000000}"/>
            </a:ext>
          </a:extLst>
        </xdr:cNvPr>
        <xdr:cNvSpPr>
          <a:spLocks noChangeShapeType="1"/>
        </xdr:cNvSpPr>
      </xdr:nvSpPr>
      <xdr:spPr bwMode="auto">
        <a:xfrm flipV="1">
          <a:off x="118110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00000000-0008-0000-0700-000009000000}"/>
            </a:ext>
          </a:extLst>
        </xdr:cNvPr>
        <xdr:cNvSpPr>
          <a:spLocks noChangeShapeType="1"/>
        </xdr:cNvSpPr>
      </xdr:nvSpPr>
      <xdr:spPr bwMode="auto">
        <a:xfrm>
          <a:off x="1270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 name="Line 9">
          <a:extLst>
            <a:ext uri="{FF2B5EF4-FFF2-40B4-BE49-F238E27FC236}">
              <a16:creationId xmlns:a16="http://schemas.microsoft.com/office/drawing/2014/main" id="{00000000-0008-0000-0700-00000A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1" name="Line 10">
          <a:extLst>
            <a:ext uri="{FF2B5EF4-FFF2-40B4-BE49-F238E27FC236}">
              <a16:creationId xmlns:a16="http://schemas.microsoft.com/office/drawing/2014/main" id="{00000000-0008-0000-0700-00000B000000}"/>
            </a:ext>
          </a:extLst>
        </xdr:cNvPr>
        <xdr:cNvSpPr>
          <a:spLocks noChangeShapeType="1"/>
        </xdr:cNvSpPr>
      </xdr:nvSpPr>
      <xdr:spPr bwMode="auto">
        <a:xfrm>
          <a:off x="0" y="0"/>
          <a:ext cx="122967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2" name="Line 11">
          <a:extLst>
            <a:ext uri="{FF2B5EF4-FFF2-40B4-BE49-F238E27FC236}">
              <a16:creationId xmlns:a16="http://schemas.microsoft.com/office/drawing/2014/main" id="{00000000-0008-0000-0700-00000C000000}"/>
            </a:ext>
          </a:extLst>
        </xdr:cNvPr>
        <xdr:cNvSpPr>
          <a:spLocks noChangeShapeType="1"/>
        </xdr:cNvSpPr>
      </xdr:nvSpPr>
      <xdr:spPr bwMode="auto">
        <a:xfrm flipH="1">
          <a:off x="19050" y="0"/>
          <a:ext cx="155765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3" name="Line 12">
          <a:extLst>
            <a:ext uri="{FF2B5EF4-FFF2-40B4-BE49-F238E27FC236}">
              <a16:creationId xmlns:a16="http://schemas.microsoft.com/office/drawing/2014/main" id="{00000000-0008-0000-0700-00000D000000}"/>
            </a:ext>
          </a:extLst>
        </xdr:cNvPr>
        <xdr:cNvSpPr>
          <a:spLocks noChangeShapeType="1"/>
        </xdr:cNvSpPr>
      </xdr:nvSpPr>
      <xdr:spPr bwMode="auto">
        <a:xfrm>
          <a:off x="9525" y="0"/>
          <a:ext cx="117157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4" name="Line 13">
          <a:extLst>
            <a:ext uri="{FF2B5EF4-FFF2-40B4-BE49-F238E27FC236}">
              <a16:creationId xmlns:a16="http://schemas.microsoft.com/office/drawing/2014/main" id="{00000000-0008-0000-0700-00000E000000}"/>
            </a:ext>
          </a:extLst>
        </xdr:cNvPr>
        <xdr:cNvSpPr>
          <a:spLocks noChangeShapeType="1"/>
        </xdr:cNvSpPr>
      </xdr:nvSpPr>
      <xdr:spPr bwMode="auto">
        <a:xfrm flipH="1"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00000000-0008-0000-0700-00000F00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6" name="Line 15">
          <a:extLst>
            <a:ext uri="{FF2B5EF4-FFF2-40B4-BE49-F238E27FC236}">
              <a16:creationId xmlns:a16="http://schemas.microsoft.com/office/drawing/2014/main" id="{00000000-0008-0000-0700-000010000000}"/>
            </a:ext>
          </a:extLst>
        </xdr:cNvPr>
        <xdr:cNvSpPr>
          <a:spLocks noChangeShapeType="1"/>
        </xdr:cNvSpPr>
      </xdr:nvSpPr>
      <xdr:spPr bwMode="auto">
        <a:xfrm>
          <a:off x="0" y="0"/>
          <a:ext cx="1559560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7" name="Line 16">
          <a:extLst>
            <a:ext uri="{FF2B5EF4-FFF2-40B4-BE49-F238E27FC236}">
              <a16:creationId xmlns:a16="http://schemas.microsoft.com/office/drawing/2014/main" id="{00000000-0008-0000-0700-000011000000}"/>
            </a:ext>
          </a:extLst>
        </xdr:cNvPr>
        <xdr:cNvSpPr>
          <a:spLocks noChangeShapeType="1"/>
        </xdr:cNvSpPr>
      </xdr:nvSpPr>
      <xdr:spPr bwMode="auto">
        <a:xfrm flipH="1" flipV="1">
          <a:off x="155956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8" name="Line 17">
          <a:extLst>
            <a:ext uri="{FF2B5EF4-FFF2-40B4-BE49-F238E27FC236}">
              <a16:creationId xmlns:a16="http://schemas.microsoft.com/office/drawing/2014/main" id="{00000000-0008-0000-0700-000012000000}"/>
            </a:ext>
          </a:extLst>
        </xdr:cNvPr>
        <xdr:cNvSpPr>
          <a:spLocks noChangeShapeType="1"/>
        </xdr:cNvSpPr>
      </xdr:nvSpPr>
      <xdr:spPr bwMode="auto">
        <a:xfrm flipH="1" flipV="1">
          <a:off x="0" y="0"/>
          <a:ext cx="152336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00000000-0008-0000-0700-00001300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20" name="Line 19">
          <a:extLst>
            <a:ext uri="{FF2B5EF4-FFF2-40B4-BE49-F238E27FC236}">
              <a16:creationId xmlns:a16="http://schemas.microsoft.com/office/drawing/2014/main" id="{00000000-0008-0000-0700-000014000000}"/>
            </a:ext>
          </a:extLst>
        </xdr:cNvPr>
        <xdr:cNvSpPr>
          <a:spLocks noChangeShapeType="1"/>
        </xdr:cNvSpPr>
      </xdr:nvSpPr>
      <xdr:spPr bwMode="auto">
        <a:xfrm>
          <a:off x="1200150" y="0"/>
          <a:ext cx="11290300"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21" name="Line 20">
          <a:extLst>
            <a:ext uri="{FF2B5EF4-FFF2-40B4-BE49-F238E27FC236}">
              <a16:creationId xmlns:a16="http://schemas.microsoft.com/office/drawing/2014/main" id="{00000000-0008-0000-0700-000015000000}"/>
            </a:ext>
          </a:extLst>
        </xdr:cNvPr>
        <xdr:cNvSpPr>
          <a:spLocks noChangeShapeType="1"/>
        </xdr:cNvSpPr>
      </xdr:nvSpPr>
      <xdr:spPr bwMode="auto">
        <a:xfrm>
          <a:off x="984250" y="0"/>
          <a:ext cx="142049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22" name="Line 21">
          <a:extLst>
            <a:ext uri="{FF2B5EF4-FFF2-40B4-BE49-F238E27FC236}">
              <a16:creationId xmlns:a16="http://schemas.microsoft.com/office/drawing/2014/main" id="{00000000-0008-0000-0700-000016000000}"/>
            </a:ext>
          </a:extLst>
        </xdr:cNvPr>
        <xdr:cNvSpPr>
          <a:spLocks noChangeShapeType="1"/>
        </xdr:cNvSpPr>
      </xdr:nvSpPr>
      <xdr:spPr bwMode="auto">
        <a:xfrm>
          <a:off x="19050" y="0"/>
          <a:ext cx="14284325"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23" name="Line 22">
          <a:extLst>
            <a:ext uri="{FF2B5EF4-FFF2-40B4-BE49-F238E27FC236}">
              <a16:creationId xmlns:a16="http://schemas.microsoft.com/office/drawing/2014/main" id="{00000000-0008-0000-0700-000017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24" name="Line 23">
          <a:extLst>
            <a:ext uri="{FF2B5EF4-FFF2-40B4-BE49-F238E27FC236}">
              <a16:creationId xmlns:a16="http://schemas.microsoft.com/office/drawing/2014/main" id="{00000000-0008-0000-0700-000018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5" name="Line 24">
          <a:extLst>
            <a:ext uri="{FF2B5EF4-FFF2-40B4-BE49-F238E27FC236}">
              <a16:creationId xmlns:a16="http://schemas.microsoft.com/office/drawing/2014/main" id="{00000000-0008-0000-0700-000019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26" name="Line 25">
          <a:extLst>
            <a:ext uri="{FF2B5EF4-FFF2-40B4-BE49-F238E27FC236}">
              <a16:creationId xmlns:a16="http://schemas.microsoft.com/office/drawing/2014/main" id="{00000000-0008-0000-0700-00001A000000}"/>
            </a:ext>
          </a:extLst>
        </xdr:cNvPr>
        <xdr:cNvSpPr>
          <a:spLocks noChangeShapeType="1"/>
        </xdr:cNvSpPr>
      </xdr:nvSpPr>
      <xdr:spPr bwMode="auto">
        <a:xfrm>
          <a:off x="12372975"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27" name="Line 26">
          <a:extLst>
            <a:ext uri="{FF2B5EF4-FFF2-40B4-BE49-F238E27FC236}">
              <a16:creationId xmlns:a16="http://schemas.microsoft.com/office/drawing/2014/main" id="{00000000-0008-0000-0700-00001B000000}"/>
            </a:ext>
          </a:extLst>
        </xdr:cNvPr>
        <xdr:cNvSpPr>
          <a:spLocks noChangeShapeType="1"/>
        </xdr:cNvSpPr>
      </xdr:nvSpPr>
      <xdr:spPr bwMode="auto">
        <a:xfrm>
          <a:off x="12201525" y="0"/>
          <a:ext cx="2997200"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28" name="Line 27">
          <a:extLst>
            <a:ext uri="{FF2B5EF4-FFF2-40B4-BE49-F238E27FC236}">
              <a16:creationId xmlns:a16="http://schemas.microsoft.com/office/drawing/2014/main" id="{00000000-0008-0000-0700-00001C000000}"/>
            </a:ext>
          </a:extLst>
        </xdr:cNvPr>
        <xdr:cNvSpPr>
          <a:spLocks noChangeShapeType="1"/>
        </xdr:cNvSpPr>
      </xdr:nvSpPr>
      <xdr:spPr bwMode="auto">
        <a:xfrm>
          <a:off x="11055350" y="0"/>
          <a:ext cx="143510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29" name="Line 28">
          <a:extLst>
            <a:ext uri="{FF2B5EF4-FFF2-40B4-BE49-F238E27FC236}">
              <a16:creationId xmlns:a16="http://schemas.microsoft.com/office/drawing/2014/main" id="{00000000-0008-0000-0700-00001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30" name="Line 29">
          <a:extLst>
            <a:ext uri="{FF2B5EF4-FFF2-40B4-BE49-F238E27FC236}">
              <a16:creationId xmlns:a16="http://schemas.microsoft.com/office/drawing/2014/main" id="{00000000-0008-0000-0700-00001E000000}"/>
            </a:ext>
          </a:extLst>
        </xdr:cNvPr>
        <xdr:cNvSpPr>
          <a:spLocks noChangeShapeType="1"/>
        </xdr:cNvSpPr>
      </xdr:nvSpPr>
      <xdr:spPr bwMode="auto">
        <a:xfrm>
          <a:off x="11312525"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31" name="Line 30">
          <a:extLst>
            <a:ext uri="{FF2B5EF4-FFF2-40B4-BE49-F238E27FC236}">
              <a16:creationId xmlns:a16="http://schemas.microsoft.com/office/drawing/2014/main" id="{00000000-0008-0000-0700-00001F000000}"/>
            </a:ext>
          </a:extLst>
        </xdr:cNvPr>
        <xdr:cNvSpPr>
          <a:spLocks noChangeShapeType="1"/>
        </xdr:cNvSpPr>
      </xdr:nvSpPr>
      <xdr:spPr bwMode="auto">
        <a:xfrm>
          <a:off x="14293850" y="0"/>
          <a:ext cx="1301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32" name="Line 31">
          <a:extLst>
            <a:ext uri="{FF2B5EF4-FFF2-40B4-BE49-F238E27FC236}">
              <a16:creationId xmlns:a16="http://schemas.microsoft.com/office/drawing/2014/main" id="{00000000-0008-0000-0700-000020000000}"/>
            </a:ext>
          </a:extLst>
        </xdr:cNvPr>
        <xdr:cNvSpPr>
          <a:spLocks noChangeShapeType="1"/>
        </xdr:cNvSpPr>
      </xdr:nvSpPr>
      <xdr:spPr bwMode="auto">
        <a:xfrm>
          <a:off x="1213485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3" name="Line 32">
          <a:extLst>
            <a:ext uri="{FF2B5EF4-FFF2-40B4-BE49-F238E27FC236}">
              <a16:creationId xmlns:a16="http://schemas.microsoft.com/office/drawing/2014/main" id="{00000000-0008-0000-0700-000021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4" name="Line 33">
          <a:extLst>
            <a:ext uri="{FF2B5EF4-FFF2-40B4-BE49-F238E27FC236}">
              <a16:creationId xmlns:a16="http://schemas.microsoft.com/office/drawing/2014/main" id="{00000000-0008-0000-0700-000022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5" name="Line 34">
          <a:extLst>
            <a:ext uri="{FF2B5EF4-FFF2-40B4-BE49-F238E27FC236}">
              <a16:creationId xmlns:a16="http://schemas.microsoft.com/office/drawing/2014/main" id="{00000000-0008-0000-0700-000023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6" name="Line 35">
          <a:extLst>
            <a:ext uri="{FF2B5EF4-FFF2-40B4-BE49-F238E27FC236}">
              <a16:creationId xmlns:a16="http://schemas.microsoft.com/office/drawing/2014/main" id="{00000000-0008-0000-0700-000024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37" name="Line 36">
          <a:extLst>
            <a:ext uri="{FF2B5EF4-FFF2-40B4-BE49-F238E27FC236}">
              <a16:creationId xmlns:a16="http://schemas.microsoft.com/office/drawing/2014/main" id="{00000000-0008-0000-0700-000025000000}"/>
            </a:ext>
          </a:extLst>
        </xdr:cNvPr>
        <xdr:cNvSpPr>
          <a:spLocks noChangeShapeType="1"/>
        </xdr:cNvSpPr>
      </xdr:nvSpPr>
      <xdr:spPr bwMode="auto">
        <a:xfrm>
          <a:off x="12144375" y="0"/>
          <a:ext cx="3451225"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38" name="Line 37">
          <a:extLst>
            <a:ext uri="{FF2B5EF4-FFF2-40B4-BE49-F238E27FC236}">
              <a16:creationId xmlns:a16="http://schemas.microsoft.com/office/drawing/2014/main" id="{00000000-0008-0000-0700-000026000000}"/>
            </a:ext>
          </a:extLst>
        </xdr:cNvPr>
        <xdr:cNvSpPr>
          <a:spLocks noChangeShapeType="1"/>
        </xdr:cNvSpPr>
      </xdr:nvSpPr>
      <xdr:spPr bwMode="auto">
        <a:xfrm>
          <a:off x="1274762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39" name="Line 38">
          <a:extLst>
            <a:ext uri="{FF2B5EF4-FFF2-40B4-BE49-F238E27FC236}">
              <a16:creationId xmlns:a16="http://schemas.microsoft.com/office/drawing/2014/main" id="{00000000-0008-0000-0700-000027000000}"/>
            </a:ext>
          </a:extLst>
        </xdr:cNvPr>
        <xdr:cNvSpPr>
          <a:spLocks noChangeShapeType="1"/>
        </xdr:cNvSpPr>
      </xdr:nvSpPr>
      <xdr:spPr bwMode="auto">
        <a:xfrm flipH="1">
          <a:off x="14693900"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0" name="Line 39">
          <a:extLst>
            <a:ext uri="{FF2B5EF4-FFF2-40B4-BE49-F238E27FC236}">
              <a16:creationId xmlns:a16="http://schemas.microsoft.com/office/drawing/2014/main" id="{00000000-0008-0000-0700-000028000000}"/>
            </a:ext>
          </a:extLst>
        </xdr:cNvPr>
        <xdr:cNvSpPr>
          <a:spLocks noChangeShapeType="1"/>
        </xdr:cNvSpPr>
      </xdr:nvSpPr>
      <xdr:spPr bwMode="auto">
        <a:xfrm flipV="1">
          <a:off x="1469390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1" name="Line 40">
          <a:extLst>
            <a:ext uri="{FF2B5EF4-FFF2-40B4-BE49-F238E27FC236}">
              <a16:creationId xmlns:a16="http://schemas.microsoft.com/office/drawing/2014/main" id="{00000000-0008-0000-0700-000029000000}"/>
            </a:ext>
          </a:extLst>
        </xdr:cNvPr>
        <xdr:cNvSpPr>
          <a:spLocks noChangeShapeType="1"/>
        </xdr:cNvSpPr>
      </xdr:nvSpPr>
      <xdr:spPr bwMode="auto">
        <a:xfrm>
          <a:off x="14693900"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42" name="Line 41">
          <a:extLst>
            <a:ext uri="{FF2B5EF4-FFF2-40B4-BE49-F238E27FC236}">
              <a16:creationId xmlns:a16="http://schemas.microsoft.com/office/drawing/2014/main" id="{00000000-0008-0000-0700-00002A000000}"/>
            </a:ext>
          </a:extLst>
        </xdr:cNvPr>
        <xdr:cNvSpPr>
          <a:spLocks noChangeShapeType="1"/>
        </xdr:cNvSpPr>
      </xdr:nvSpPr>
      <xdr:spPr bwMode="auto">
        <a:xfrm>
          <a:off x="13303250"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43" name="Line 42">
          <a:extLst>
            <a:ext uri="{FF2B5EF4-FFF2-40B4-BE49-F238E27FC236}">
              <a16:creationId xmlns:a16="http://schemas.microsoft.com/office/drawing/2014/main" id="{00000000-0008-0000-0700-00002B000000}"/>
            </a:ext>
          </a:extLst>
        </xdr:cNvPr>
        <xdr:cNvSpPr>
          <a:spLocks noChangeShapeType="1"/>
        </xdr:cNvSpPr>
      </xdr:nvSpPr>
      <xdr:spPr bwMode="auto">
        <a:xfrm>
          <a:off x="15141575"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44" name="Line 43">
          <a:extLst>
            <a:ext uri="{FF2B5EF4-FFF2-40B4-BE49-F238E27FC236}">
              <a16:creationId xmlns:a16="http://schemas.microsoft.com/office/drawing/2014/main" id="{00000000-0008-0000-0700-00002C000000}"/>
            </a:ext>
          </a:extLst>
        </xdr:cNvPr>
        <xdr:cNvSpPr>
          <a:spLocks noChangeShapeType="1"/>
        </xdr:cNvSpPr>
      </xdr:nvSpPr>
      <xdr:spPr bwMode="auto">
        <a:xfrm>
          <a:off x="6321425" y="0"/>
          <a:ext cx="295275"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45" name="Line 44">
          <a:extLst>
            <a:ext uri="{FF2B5EF4-FFF2-40B4-BE49-F238E27FC236}">
              <a16:creationId xmlns:a16="http://schemas.microsoft.com/office/drawing/2014/main" id="{00000000-0008-0000-0700-00002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46" name="Line 45">
          <a:extLst>
            <a:ext uri="{FF2B5EF4-FFF2-40B4-BE49-F238E27FC236}">
              <a16:creationId xmlns:a16="http://schemas.microsoft.com/office/drawing/2014/main" id="{00000000-0008-0000-0700-00002E000000}"/>
            </a:ext>
          </a:extLst>
        </xdr:cNvPr>
        <xdr:cNvSpPr>
          <a:spLocks noChangeShapeType="1"/>
        </xdr:cNvSpPr>
      </xdr:nvSpPr>
      <xdr:spPr bwMode="auto">
        <a:xfrm>
          <a:off x="10769600" y="0"/>
          <a:ext cx="26670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47" name="Line 46">
          <a:extLst>
            <a:ext uri="{FF2B5EF4-FFF2-40B4-BE49-F238E27FC236}">
              <a16:creationId xmlns:a16="http://schemas.microsoft.com/office/drawing/2014/main" id="{00000000-0008-0000-0700-00002F000000}"/>
            </a:ext>
          </a:extLst>
        </xdr:cNvPr>
        <xdr:cNvSpPr>
          <a:spLocks noChangeShapeType="1"/>
        </xdr:cNvSpPr>
      </xdr:nvSpPr>
      <xdr:spPr bwMode="auto">
        <a:xfrm>
          <a:off x="6321425" y="0"/>
          <a:ext cx="4543425"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48" name="Line 47">
          <a:extLst>
            <a:ext uri="{FF2B5EF4-FFF2-40B4-BE49-F238E27FC236}">
              <a16:creationId xmlns:a16="http://schemas.microsoft.com/office/drawing/2014/main" id="{00000000-0008-0000-0700-000030000000}"/>
            </a:ext>
          </a:extLst>
        </xdr:cNvPr>
        <xdr:cNvSpPr>
          <a:spLocks noChangeShapeType="1"/>
        </xdr:cNvSpPr>
      </xdr:nvSpPr>
      <xdr:spPr bwMode="auto">
        <a:xfrm>
          <a:off x="10798175" y="0"/>
          <a:ext cx="91440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00000000-0008-0000-0700-000031000000}"/>
            </a:ext>
          </a:extLst>
        </xdr:cNvPr>
        <xdr:cNvSpPr>
          <a:spLocks noChangeShapeType="1"/>
        </xdr:cNvSpPr>
      </xdr:nvSpPr>
      <xdr:spPr bwMode="auto">
        <a:xfrm>
          <a:off x="39370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50" name="Line 50">
          <a:extLst>
            <a:ext uri="{FF2B5EF4-FFF2-40B4-BE49-F238E27FC236}">
              <a16:creationId xmlns:a16="http://schemas.microsoft.com/office/drawing/2014/main" id="{00000000-0008-0000-0700-000032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51" name="Line 51">
          <a:extLst>
            <a:ext uri="{FF2B5EF4-FFF2-40B4-BE49-F238E27FC236}">
              <a16:creationId xmlns:a16="http://schemas.microsoft.com/office/drawing/2014/main" id="{00000000-0008-0000-0700-000033000000}"/>
            </a:ext>
          </a:extLst>
        </xdr:cNvPr>
        <xdr:cNvSpPr>
          <a:spLocks noChangeShapeType="1"/>
        </xdr:cNvSpPr>
      </xdr:nvSpPr>
      <xdr:spPr bwMode="auto">
        <a:xfrm>
          <a:off x="1644650" y="0"/>
          <a:ext cx="850900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52" name="Line 52">
          <a:extLst>
            <a:ext uri="{FF2B5EF4-FFF2-40B4-BE49-F238E27FC236}">
              <a16:creationId xmlns:a16="http://schemas.microsoft.com/office/drawing/2014/main" id="{00000000-0008-0000-0700-000034000000}"/>
            </a:ext>
          </a:extLst>
        </xdr:cNvPr>
        <xdr:cNvSpPr>
          <a:spLocks noChangeShapeType="1"/>
        </xdr:cNvSpPr>
      </xdr:nvSpPr>
      <xdr:spPr bwMode="auto">
        <a:xfrm flipH="1">
          <a:off x="5153025"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53" name="Line 53">
          <a:extLst>
            <a:ext uri="{FF2B5EF4-FFF2-40B4-BE49-F238E27FC236}">
              <a16:creationId xmlns:a16="http://schemas.microsoft.com/office/drawing/2014/main" id="{00000000-0008-0000-0700-000035000000}"/>
            </a:ext>
          </a:extLst>
        </xdr:cNvPr>
        <xdr:cNvSpPr>
          <a:spLocks noChangeShapeType="1"/>
        </xdr:cNvSpPr>
      </xdr:nvSpPr>
      <xdr:spPr bwMode="auto">
        <a:xfrm>
          <a:off x="6616700"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54" name="Line 54">
          <a:extLst>
            <a:ext uri="{FF2B5EF4-FFF2-40B4-BE49-F238E27FC236}">
              <a16:creationId xmlns:a16="http://schemas.microsoft.com/office/drawing/2014/main" id="{00000000-0008-0000-0700-000036000000}"/>
            </a:ext>
          </a:extLst>
        </xdr:cNvPr>
        <xdr:cNvSpPr>
          <a:spLocks noChangeShapeType="1"/>
        </xdr:cNvSpPr>
      </xdr:nvSpPr>
      <xdr:spPr bwMode="auto">
        <a:xfrm>
          <a:off x="5172075" y="0"/>
          <a:ext cx="144462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55" name="Line 55">
          <a:extLst>
            <a:ext uri="{FF2B5EF4-FFF2-40B4-BE49-F238E27FC236}">
              <a16:creationId xmlns:a16="http://schemas.microsoft.com/office/drawing/2014/main" id="{00000000-0008-0000-0700-000037000000}"/>
            </a:ext>
          </a:extLst>
        </xdr:cNvPr>
        <xdr:cNvSpPr>
          <a:spLocks noChangeShapeType="1"/>
        </xdr:cNvSpPr>
      </xdr:nvSpPr>
      <xdr:spPr bwMode="auto">
        <a:xfrm>
          <a:off x="575945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6" name="Line 56">
          <a:extLst>
            <a:ext uri="{FF2B5EF4-FFF2-40B4-BE49-F238E27FC236}">
              <a16:creationId xmlns:a16="http://schemas.microsoft.com/office/drawing/2014/main" id="{00000000-0008-0000-0700-000038000000}"/>
            </a:ext>
          </a:extLst>
        </xdr:cNvPr>
        <xdr:cNvSpPr>
          <a:spLocks noChangeShapeType="1"/>
        </xdr:cNvSpPr>
      </xdr:nvSpPr>
      <xdr:spPr bwMode="auto">
        <a:xfrm>
          <a:off x="902335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57" name="Line 57">
          <a:extLst>
            <a:ext uri="{FF2B5EF4-FFF2-40B4-BE49-F238E27FC236}">
              <a16:creationId xmlns:a16="http://schemas.microsoft.com/office/drawing/2014/main" id="{00000000-0008-0000-0700-000039000000}"/>
            </a:ext>
          </a:extLst>
        </xdr:cNvPr>
        <xdr:cNvSpPr>
          <a:spLocks noChangeShapeType="1"/>
        </xdr:cNvSpPr>
      </xdr:nvSpPr>
      <xdr:spPr bwMode="auto">
        <a:xfrm>
          <a:off x="110363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58" name="Line 58">
          <a:extLst>
            <a:ext uri="{FF2B5EF4-FFF2-40B4-BE49-F238E27FC236}">
              <a16:creationId xmlns:a16="http://schemas.microsoft.com/office/drawing/2014/main" id="{00000000-0008-0000-0700-00003A000000}"/>
            </a:ext>
          </a:extLst>
        </xdr:cNvPr>
        <xdr:cNvSpPr>
          <a:spLocks noChangeShapeType="1"/>
        </xdr:cNvSpPr>
      </xdr:nvSpPr>
      <xdr:spPr bwMode="auto">
        <a:xfrm>
          <a:off x="1156970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59" name="Line 59">
          <a:extLst>
            <a:ext uri="{FF2B5EF4-FFF2-40B4-BE49-F238E27FC236}">
              <a16:creationId xmlns:a16="http://schemas.microsoft.com/office/drawing/2014/main" id="{00000000-0008-0000-0700-00003B000000}"/>
            </a:ext>
          </a:extLst>
        </xdr:cNvPr>
        <xdr:cNvSpPr>
          <a:spLocks noChangeShapeType="1"/>
        </xdr:cNvSpPr>
      </xdr:nvSpPr>
      <xdr:spPr bwMode="auto">
        <a:xfrm>
          <a:off x="11817350"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60" name="Line 60">
          <a:extLst>
            <a:ext uri="{FF2B5EF4-FFF2-40B4-BE49-F238E27FC236}">
              <a16:creationId xmlns:a16="http://schemas.microsoft.com/office/drawing/2014/main" id="{00000000-0008-0000-0700-00003C000000}"/>
            </a:ext>
          </a:extLst>
        </xdr:cNvPr>
        <xdr:cNvSpPr>
          <a:spLocks noChangeShapeType="1"/>
        </xdr:cNvSpPr>
      </xdr:nvSpPr>
      <xdr:spPr bwMode="auto">
        <a:xfrm>
          <a:off x="34480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1" name="Line 61">
          <a:extLst>
            <a:ext uri="{FF2B5EF4-FFF2-40B4-BE49-F238E27FC236}">
              <a16:creationId xmlns:a16="http://schemas.microsoft.com/office/drawing/2014/main" id="{00000000-0008-0000-0700-00003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62" name="Line 62">
          <a:extLst>
            <a:ext uri="{FF2B5EF4-FFF2-40B4-BE49-F238E27FC236}">
              <a16:creationId xmlns:a16="http://schemas.microsoft.com/office/drawing/2014/main" id="{00000000-0008-0000-0700-00003E000000}"/>
            </a:ext>
          </a:extLst>
        </xdr:cNvPr>
        <xdr:cNvSpPr>
          <a:spLocks noChangeShapeType="1"/>
        </xdr:cNvSpPr>
      </xdr:nvSpPr>
      <xdr:spPr bwMode="auto">
        <a:xfrm>
          <a:off x="11007725"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63" name="Line 63">
          <a:extLst>
            <a:ext uri="{FF2B5EF4-FFF2-40B4-BE49-F238E27FC236}">
              <a16:creationId xmlns:a16="http://schemas.microsoft.com/office/drawing/2014/main" id="{00000000-0008-0000-0700-00003F000000}"/>
            </a:ext>
          </a:extLst>
        </xdr:cNvPr>
        <xdr:cNvSpPr>
          <a:spLocks noChangeShapeType="1"/>
        </xdr:cNvSpPr>
      </xdr:nvSpPr>
      <xdr:spPr bwMode="auto">
        <a:xfrm>
          <a:off x="127381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64" name="Line 64">
          <a:extLst>
            <a:ext uri="{FF2B5EF4-FFF2-40B4-BE49-F238E27FC236}">
              <a16:creationId xmlns:a16="http://schemas.microsoft.com/office/drawing/2014/main" id="{00000000-0008-0000-0700-000040000000}"/>
            </a:ext>
          </a:extLst>
        </xdr:cNvPr>
        <xdr:cNvSpPr>
          <a:spLocks noChangeShapeType="1"/>
        </xdr:cNvSpPr>
      </xdr:nvSpPr>
      <xdr:spPr bwMode="auto">
        <a:xfrm>
          <a:off x="1156970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65" name="Line 65">
          <a:extLst>
            <a:ext uri="{FF2B5EF4-FFF2-40B4-BE49-F238E27FC236}">
              <a16:creationId xmlns:a16="http://schemas.microsoft.com/office/drawing/2014/main" id="{00000000-0008-0000-0700-000041000000}"/>
            </a:ext>
          </a:extLst>
        </xdr:cNvPr>
        <xdr:cNvSpPr>
          <a:spLocks noChangeShapeType="1"/>
        </xdr:cNvSpPr>
      </xdr:nvSpPr>
      <xdr:spPr bwMode="auto">
        <a:xfrm>
          <a:off x="1181735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66" name="Line 66">
          <a:extLst>
            <a:ext uri="{FF2B5EF4-FFF2-40B4-BE49-F238E27FC236}">
              <a16:creationId xmlns:a16="http://schemas.microsoft.com/office/drawing/2014/main" id="{00000000-0008-0000-0700-000042000000}"/>
            </a:ext>
          </a:extLst>
        </xdr:cNvPr>
        <xdr:cNvSpPr>
          <a:spLocks noChangeShapeType="1"/>
        </xdr:cNvSpPr>
      </xdr:nvSpPr>
      <xdr:spPr bwMode="auto">
        <a:xfrm>
          <a:off x="121348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7" name="Line 67">
          <a:extLst>
            <a:ext uri="{FF2B5EF4-FFF2-40B4-BE49-F238E27FC236}">
              <a16:creationId xmlns:a16="http://schemas.microsoft.com/office/drawing/2014/main" id="{00000000-0008-0000-0700-000043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8" name="Line 68">
          <a:extLst>
            <a:ext uri="{FF2B5EF4-FFF2-40B4-BE49-F238E27FC236}">
              <a16:creationId xmlns:a16="http://schemas.microsoft.com/office/drawing/2014/main" id="{00000000-0008-0000-0700-000044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69" name="Line 69">
          <a:extLst>
            <a:ext uri="{FF2B5EF4-FFF2-40B4-BE49-F238E27FC236}">
              <a16:creationId xmlns:a16="http://schemas.microsoft.com/office/drawing/2014/main" id="{00000000-0008-0000-0700-000045000000}"/>
            </a:ext>
          </a:extLst>
        </xdr:cNvPr>
        <xdr:cNvSpPr>
          <a:spLocks noChangeShapeType="1"/>
        </xdr:cNvSpPr>
      </xdr:nvSpPr>
      <xdr:spPr bwMode="auto">
        <a:xfrm flipV="1">
          <a:off x="104775" y="955675"/>
          <a:ext cx="41275" cy="1047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70" name="Line 70">
          <a:extLst>
            <a:ext uri="{FF2B5EF4-FFF2-40B4-BE49-F238E27FC236}">
              <a16:creationId xmlns:a16="http://schemas.microsoft.com/office/drawing/2014/main" id="{00000000-0008-0000-0700-000046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1" name="Line 71">
          <a:extLst>
            <a:ext uri="{FF2B5EF4-FFF2-40B4-BE49-F238E27FC236}">
              <a16:creationId xmlns:a16="http://schemas.microsoft.com/office/drawing/2014/main" id="{00000000-0008-0000-0700-000047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00000000-0008-0000-0700-000048000000}"/>
            </a:ext>
          </a:extLst>
        </xdr:cNvPr>
        <xdr:cNvSpPr>
          <a:spLocks noChangeShapeType="1"/>
        </xdr:cNvSpPr>
      </xdr:nvSpPr>
      <xdr:spPr bwMode="auto">
        <a:xfrm flipH="1">
          <a:off x="9525" y="2476500"/>
          <a:ext cx="1270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6</xdr:col>
      <xdr:colOff>0</xdr:colOff>
      <xdr:row>6</xdr:row>
      <xdr:rowOff>0</xdr:rowOff>
    </xdr:to>
    <xdr:sp macro="" textlink="">
      <xdr:nvSpPr>
        <xdr:cNvPr id="74" name="Line 74">
          <a:extLst>
            <a:ext uri="{FF2B5EF4-FFF2-40B4-BE49-F238E27FC236}">
              <a16:creationId xmlns:a16="http://schemas.microsoft.com/office/drawing/2014/main" id="{00000000-0008-0000-0700-00004A000000}"/>
            </a:ext>
          </a:extLst>
        </xdr:cNvPr>
        <xdr:cNvSpPr>
          <a:spLocks noChangeShapeType="1"/>
        </xdr:cNvSpPr>
      </xdr:nvSpPr>
      <xdr:spPr bwMode="auto">
        <a:xfrm>
          <a:off x="9525" y="2476500"/>
          <a:ext cx="1171575" cy="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57150</xdr:rowOff>
        </xdr:from>
        <xdr:to>
          <xdr:col>0</xdr:col>
          <xdr:colOff>0</xdr:colOff>
          <xdr:row>36</xdr:row>
          <xdr:rowOff>104775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209550</xdr:rowOff>
        </xdr:from>
        <xdr:to>
          <xdr:col>8</xdr:col>
          <xdr:colOff>1619250</xdr:colOff>
          <xdr:row>0</xdr:row>
          <xdr:rowOff>342900</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1409700</xdr:colOff>
          <xdr:row>1</xdr:row>
          <xdr:rowOff>19050</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1200150</xdr:colOff>
          <xdr:row>0</xdr:row>
          <xdr:rowOff>361950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7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361950</xdr:rowOff>
        </xdr:from>
        <xdr:to>
          <xdr:col>9</xdr:col>
          <xdr:colOff>1428750</xdr:colOff>
          <xdr:row>1</xdr:row>
          <xdr:rowOff>19050</xdr:rowOff>
        </xdr:to>
        <xdr:sp macro="" textlink="">
          <xdr:nvSpPr>
            <xdr:cNvPr id="11269" name="Check Box 5" hidden="1">
              <a:extLst>
                <a:ext uri="{63B3BB69-23CF-44E3-9099-C40C66FF867C}">
                  <a14:compatExt spid="_x0000_s11269"/>
                </a:ext>
                <a:ext uri="{FF2B5EF4-FFF2-40B4-BE49-F238E27FC236}">
                  <a16:creationId xmlns:a16="http://schemas.microsoft.com/office/drawing/2014/main" id="{00000000-0008-0000-0700-00000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twoCellAnchor>
    <xdr:from>
      <xdr:col>1</xdr:col>
      <xdr:colOff>9525</xdr:colOff>
      <xdr:row>6</xdr:row>
      <xdr:rowOff>0</xdr:rowOff>
    </xdr:from>
    <xdr:to>
      <xdr:col>6</xdr:col>
      <xdr:colOff>0</xdr:colOff>
      <xdr:row>6</xdr:row>
      <xdr:rowOff>0</xdr:rowOff>
    </xdr:to>
    <xdr:sp macro="" textlink="">
      <xdr:nvSpPr>
        <xdr:cNvPr id="77" name="Line 70">
          <a:extLst>
            <a:ext uri="{FF2B5EF4-FFF2-40B4-BE49-F238E27FC236}">
              <a16:creationId xmlns:a16="http://schemas.microsoft.com/office/drawing/2014/main" id="{00000000-0008-0000-0700-00004D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8" name="Line 71">
          <a:extLst>
            <a:ext uri="{FF2B5EF4-FFF2-40B4-BE49-F238E27FC236}">
              <a16:creationId xmlns:a16="http://schemas.microsoft.com/office/drawing/2014/main" id="{00000000-0008-0000-0700-00004E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19050</xdr:colOff>
      <xdr:row>0</xdr:row>
      <xdr:rowOff>0</xdr:rowOff>
    </xdr:from>
    <xdr:to>
      <xdr:col>1</xdr:col>
      <xdr:colOff>38100</xdr:colOff>
      <xdr:row>0</xdr:row>
      <xdr:rowOff>0</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flipV="1">
          <a:off x="146050" y="0"/>
          <a:ext cx="19050" cy="0"/>
        </a:xfrm>
        <a:prstGeom prst="line">
          <a:avLst/>
        </a:prstGeom>
        <a:noFill/>
        <a:ln w="9525">
          <a:solidFill>
            <a:srgbClr val="000000"/>
          </a:solidFill>
          <a:round/>
          <a:headEnd/>
          <a:tailEnd/>
        </a:ln>
      </xdr:spPr>
    </xdr:sp>
    <xdr:clientData/>
  </xdr:twoCellAnchor>
  <xdr:twoCellAnchor>
    <xdr:from>
      <xdr:col>1</xdr:col>
      <xdr:colOff>9525</xdr:colOff>
      <xdr:row>0</xdr:row>
      <xdr:rowOff>0</xdr:rowOff>
    </xdr:from>
    <xdr:to>
      <xdr:col>6</xdr:col>
      <xdr:colOff>0</xdr:colOff>
      <xdr:row>0</xdr:row>
      <xdr:rowOff>0</xdr:rowOff>
    </xdr:to>
    <xdr:sp macro="" textlink="">
      <xdr:nvSpPr>
        <xdr:cNvPr id="3" name="Line 2">
          <a:extLst>
            <a:ext uri="{FF2B5EF4-FFF2-40B4-BE49-F238E27FC236}">
              <a16:creationId xmlns:a16="http://schemas.microsoft.com/office/drawing/2014/main" id="{00000000-0008-0000-0800-000003000000}"/>
            </a:ext>
          </a:extLst>
        </xdr:cNvPr>
        <xdr:cNvSpPr>
          <a:spLocks noChangeShapeType="1"/>
        </xdr:cNvSpPr>
      </xdr:nvSpPr>
      <xdr:spPr bwMode="auto">
        <a:xfrm>
          <a:off x="136525" y="0"/>
          <a:ext cx="104457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6</xdr:col>
      <xdr:colOff>0</xdr:colOff>
      <xdr:row>0</xdr:row>
      <xdr:rowOff>0</xdr:rowOff>
    </xdr:to>
    <xdr:sp macro="" textlink="">
      <xdr:nvSpPr>
        <xdr:cNvPr id="4" name="Line 3">
          <a:extLst>
            <a:ext uri="{FF2B5EF4-FFF2-40B4-BE49-F238E27FC236}">
              <a16:creationId xmlns:a16="http://schemas.microsoft.com/office/drawing/2014/main" id="{00000000-0008-0000-0800-000004000000}"/>
            </a:ext>
          </a:extLst>
        </xdr:cNvPr>
        <xdr:cNvSpPr>
          <a:spLocks noChangeShapeType="1"/>
        </xdr:cNvSpPr>
      </xdr:nvSpPr>
      <xdr:spPr bwMode="auto">
        <a:xfrm>
          <a:off x="127000" y="0"/>
          <a:ext cx="10541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5" name="Line 4">
          <a:extLst>
            <a:ext uri="{FF2B5EF4-FFF2-40B4-BE49-F238E27FC236}">
              <a16:creationId xmlns:a16="http://schemas.microsoft.com/office/drawing/2014/main" id="{00000000-0008-0000-0800-000005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1</xdr:col>
      <xdr:colOff>9525</xdr:colOff>
      <xdr:row>0</xdr:row>
      <xdr:rowOff>0</xdr:rowOff>
    </xdr:to>
    <xdr:sp macro="" textlink="">
      <xdr:nvSpPr>
        <xdr:cNvPr id="6" name="Line 5">
          <a:extLst>
            <a:ext uri="{FF2B5EF4-FFF2-40B4-BE49-F238E27FC236}">
              <a16:creationId xmlns:a16="http://schemas.microsoft.com/office/drawing/2014/main" id="{00000000-0008-0000-0800-000006000000}"/>
            </a:ext>
          </a:extLst>
        </xdr:cNvPr>
        <xdr:cNvSpPr>
          <a:spLocks noChangeShapeType="1"/>
        </xdr:cNvSpPr>
      </xdr:nvSpPr>
      <xdr:spPr bwMode="auto">
        <a:xfrm flipH="1">
          <a:off x="9525" y="0"/>
          <a:ext cx="12700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7" name="Line 6">
          <a:extLst>
            <a:ext uri="{FF2B5EF4-FFF2-40B4-BE49-F238E27FC236}">
              <a16:creationId xmlns:a16="http://schemas.microsoft.com/office/drawing/2014/main" id="{00000000-0008-0000-0800-000007000000}"/>
            </a:ext>
          </a:extLst>
        </xdr:cNvPr>
        <xdr:cNvSpPr>
          <a:spLocks noChangeShapeType="1"/>
        </xdr:cNvSpPr>
      </xdr:nvSpPr>
      <xdr:spPr bwMode="auto">
        <a:xfrm flipH="1">
          <a:off x="118110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9525</xdr:colOff>
      <xdr:row>0</xdr:row>
      <xdr:rowOff>0</xdr:rowOff>
    </xdr:to>
    <xdr:sp macro="" textlink="">
      <xdr:nvSpPr>
        <xdr:cNvPr id="8" name="Line 7">
          <a:extLst>
            <a:ext uri="{FF2B5EF4-FFF2-40B4-BE49-F238E27FC236}">
              <a16:creationId xmlns:a16="http://schemas.microsoft.com/office/drawing/2014/main" id="{00000000-0008-0000-0800-000008000000}"/>
            </a:ext>
          </a:extLst>
        </xdr:cNvPr>
        <xdr:cNvSpPr>
          <a:spLocks noChangeShapeType="1"/>
        </xdr:cNvSpPr>
      </xdr:nvSpPr>
      <xdr:spPr bwMode="auto">
        <a:xfrm flipV="1">
          <a:off x="1181100" y="0"/>
          <a:ext cx="9525" cy="0"/>
        </a:xfrm>
        <a:prstGeom prst="line">
          <a:avLst/>
        </a:prstGeom>
        <a:noFill/>
        <a:ln w="9525">
          <a:solidFill>
            <a:srgbClr val="000000"/>
          </a:solidFill>
          <a:round/>
          <a:headEnd/>
          <a:tailEnd/>
        </a:ln>
      </xdr:spPr>
    </xdr:sp>
    <xdr:clientData/>
  </xdr:twoCellAnchor>
  <xdr:twoCellAnchor>
    <xdr:from>
      <xdr:col>1</xdr:col>
      <xdr:colOff>0</xdr:colOff>
      <xdr:row>0</xdr:row>
      <xdr:rowOff>0</xdr:rowOff>
    </xdr:from>
    <xdr:to>
      <xdr:col>1</xdr:col>
      <xdr:colOff>0</xdr:colOff>
      <xdr:row>0</xdr:row>
      <xdr:rowOff>0</xdr:rowOff>
    </xdr:to>
    <xdr:sp macro="" textlink="">
      <xdr:nvSpPr>
        <xdr:cNvPr id="9" name="Line 8">
          <a:extLst>
            <a:ext uri="{FF2B5EF4-FFF2-40B4-BE49-F238E27FC236}">
              <a16:creationId xmlns:a16="http://schemas.microsoft.com/office/drawing/2014/main" id="{00000000-0008-0000-0800-000009000000}"/>
            </a:ext>
          </a:extLst>
        </xdr:cNvPr>
        <xdr:cNvSpPr>
          <a:spLocks noChangeShapeType="1"/>
        </xdr:cNvSpPr>
      </xdr:nvSpPr>
      <xdr:spPr bwMode="auto">
        <a:xfrm>
          <a:off x="12700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0" name="Line 9">
          <a:extLst>
            <a:ext uri="{FF2B5EF4-FFF2-40B4-BE49-F238E27FC236}">
              <a16:creationId xmlns:a16="http://schemas.microsoft.com/office/drawing/2014/main" id="{00000000-0008-0000-0800-00000A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21</xdr:col>
      <xdr:colOff>161925</xdr:colOff>
      <xdr:row>0</xdr:row>
      <xdr:rowOff>0</xdr:rowOff>
    </xdr:to>
    <xdr:sp macro="" textlink="">
      <xdr:nvSpPr>
        <xdr:cNvPr id="11" name="Line 10">
          <a:extLst>
            <a:ext uri="{FF2B5EF4-FFF2-40B4-BE49-F238E27FC236}">
              <a16:creationId xmlns:a16="http://schemas.microsoft.com/office/drawing/2014/main" id="{00000000-0008-0000-0800-00000B000000}"/>
            </a:ext>
          </a:extLst>
        </xdr:cNvPr>
        <xdr:cNvSpPr>
          <a:spLocks noChangeShapeType="1"/>
        </xdr:cNvSpPr>
      </xdr:nvSpPr>
      <xdr:spPr bwMode="auto">
        <a:xfrm>
          <a:off x="0" y="0"/>
          <a:ext cx="12296775"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27</xdr:col>
      <xdr:colOff>0</xdr:colOff>
      <xdr:row>0</xdr:row>
      <xdr:rowOff>0</xdr:rowOff>
    </xdr:to>
    <xdr:sp macro="" textlink="">
      <xdr:nvSpPr>
        <xdr:cNvPr id="12" name="Line 11">
          <a:extLst>
            <a:ext uri="{FF2B5EF4-FFF2-40B4-BE49-F238E27FC236}">
              <a16:creationId xmlns:a16="http://schemas.microsoft.com/office/drawing/2014/main" id="{00000000-0008-0000-0800-00000C000000}"/>
            </a:ext>
          </a:extLst>
        </xdr:cNvPr>
        <xdr:cNvSpPr>
          <a:spLocks noChangeShapeType="1"/>
        </xdr:cNvSpPr>
      </xdr:nvSpPr>
      <xdr:spPr bwMode="auto">
        <a:xfrm flipH="1">
          <a:off x="19050" y="0"/>
          <a:ext cx="155765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6</xdr:col>
      <xdr:colOff>0</xdr:colOff>
      <xdr:row>0</xdr:row>
      <xdr:rowOff>0</xdr:rowOff>
    </xdr:to>
    <xdr:sp macro="" textlink="">
      <xdr:nvSpPr>
        <xdr:cNvPr id="13" name="Line 12">
          <a:extLst>
            <a:ext uri="{FF2B5EF4-FFF2-40B4-BE49-F238E27FC236}">
              <a16:creationId xmlns:a16="http://schemas.microsoft.com/office/drawing/2014/main" id="{00000000-0008-0000-0800-00000D000000}"/>
            </a:ext>
          </a:extLst>
        </xdr:cNvPr>
        <xdr:cNvSpPr>
          <a:spLocks noChangeShapeType="1"/>
        </xdr:cNvSpPr>
      </xdr:nvSpPr>
      <xdr:spPr bwMode="auto">
        <a:xfrm>
          <a:off x="9525" y="0"/>
          <a:ext cx="1171575"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14" name="Line 13">
          <a:extLst>
            <a:ext uri="{FF2B5EF4-FFF2-40B4-BE49-F238E27FC236}">
              <a16:creationId xmlns:a16="http://schemas.microsoft.com/office/drawing/2014/main" id="{00000000-0008-0000-0800-00000E000000}"/>
            </a:ext>
          </a:extLst>
        </xdr:cNvPr>
        <xdr:cNvSpPr>
          <a:spLocks noChangeShapeType="1"/>
        </xdr:cNvSpPr>
      </xdr:nvSpPr>
      <xdr:spPr bwMode="auto">
        <a:xfrm flipH="1" flipV="1">
          <a:off x="164465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0</xdr:col>
      <xdr:colOff>9525</xdr:colOff>
      <xdr:row>0</xdr:row>
      <xdr:rowOff>0</xdr:rowOff>
    </xdr:to>
    <xdr:sp macro="" textlink="">
      <xdr:nvSpPr>
        <xdr:cNvPr id="15" name="Line 14">
          <a:extLst>
            <a:ext uri="{FF2B5EF4-FFF2-40B4-BE49-F238E27FC236}">
              <a16:creationId xmlns:a16="http://schemas.microsoft.com/office/drawing/2014/main" id="{00000000-0008-0000-0800-00000F000000}"/>
            </a:ext>
          </a:extLst>
        </xdr:cNvPr>
        <xdr:cNvSpPr>
          <a:spLocks noChangeShapeType="1"/>
        </xdr:cNvSpPr>
      </xdr:nvSpPr>
      <xdr:spPr bwMode="auto">
        <a:xfrm flipH="1">
          <a:off x="0" y="0"/>
          <a:ext cx="9525"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27</xdr:col>
      <xdr:colOff>0</xdr:colOff>
      <xdr:row>0</xdr:row>
      <xdr:rowOff>0</xdr:rowOff>
    </xdr:to>
    <xdr:sp macro="" textlink="">
      <xdr:nvSpPr>
        <xdr:cNvPr id="16" name="Line 15">
          <a:extLst>
            <a:ext uri="{FF2B5EF4-FFF2-40B4-BE49-F238E27FC236}">
              <a16:creationId xmlns:a16="http://schemas.microsoft.com/office/drawing/2014/main" id="{00000000-0008-0000-0800-000010000000}"/>
            </a:ext>
          </a:extLst>
        </xdr:cNvPr>
        <xdr:cNvSpPr>
          <a:spLocks noChangeShapeType="1"/>
        </xdr:cNvSpPr>
      </xdr:nvSpPr>
      <xdr:spPr bwMode="auto">
        <a:xfrm>
          <a:off x="0" y="0"/>
          <a:ext cx="15595600" cy="0"/>
        </a:xfrm>
        <a:prstGeom prst="line">
          <a:avLst/>
        </a:prstGeom>
        <a:noFill/>
        <a:ln w="9525">
          <a:solidFill>
            <a:srgbClr val="000000"/>
          </a:solidFill>
          <a:round/>
          <a:headEnd/>
          <a:tailEnd/>
        </a:ln>
      </xdr:spPr>
    </xdr:sp>
    <xdr:clientData/>
  </xdr:twoCellAnchor>
  <xdr:twoCellAnchor>
    <xdr:from>
      <xdr:col>27</xdr:col>
      <xdr:colOff>0</xdr:colOff>
      <xdr:row>0</xdr:row>
      <xdr:rowOff>0</xdr:rowOff>
    </xdr:from>
    <xdr:to>
      <xdr:col>27</xdr:col>
      <xdr:colOff>0</xdr:colOff>
      <xdr:row>0</xdr:row>
      <xdr:rowOff>0</xdr:rowOff>
    </xdr:to>
    <xdr:sp macro="" textlink="">
      <xdr:nvSpPr>
        <xdr:cNvPr id="17" name="Line 16">
          <a:extLst>
            <a:ext uri="{FF2B5EF4-FFF2-40B4-BE49-F238E27FC236}">
              <a16:creationId xmlns:a16="http://schemas.microsoft.com/office/drawing/2014/main" id="{00000000-0008-0000-0800-000011000000}"/>
            </a:ext>
          </a:extLst>
        </xdr:cNvPr>
        <xdr:cNvSpPr>
          <a:spLocks noChangeShapeType="1"/>
        </xdr:cNvSpPr>
      </xdr:nvSpPr>
      <xdr:spPr bwMode="auto">
        <a:xfrm flipH="1" flipV="1">
          <a:off x="15595600" y="0"/>
          <a:ext cx="0" cy="0"/>
        </a:xfrm>
        <a:prstGeom prst="line">
          <a:avLst/>
        </a:prstGeom>
        <a:noFill/>
        <a:ln w="9525">
          <a:solidFill>
            <a:srgbClr val="000000"/>
          </a:solidFill>
          <a:round/>
          <a:headEnd/>
          <a:tailEnd/>
        </a:ln>
      </xdr:spPr>
    </xdr:sp>
    <xdr:clientData/>
  </xdr:twoCellAnchor>
  <xdr:twoCellAnchor>
    <xdr:from>
      <xdr:col>0</xdr:col>
      <xdr:colOff>0</xdr:colOff>
      <xdr:row>0</xdr:row>
      <xdr:rowOff>0</xdr:rowOff>
    </xdr:from>
    <xdr:to>
      <xdr:col>26</xdr:col>
      <xdr:colOff>44450</xdr:colOff>
      <xdr:row>0</xdr:row>
      <xdr:rowOff>0</xdr:rowOff>
    </xdr:to>
    <xdr:sp macro="" textlink="">
      <xdr:nvSpPr>
        <xdr:cNvPr id="18" name="Line 17">
          <a:extLst>
            <a:ext uri="{FF2B5EF4-FFF2-40B4-BE49-F238E27FC236}">
              <a16:creationId xmlns:a16="http://schemas.microsoft.com/office/drawing/2014/main" id="{00000000-0008-0000-0800-000012000000}"/>
            </a:ext>
          </a:extLst>
        </xdr:cNvPr>
        <xdr:cNvSpPr>
          <a:spLocks noChangeShapeType="1"/>
        </xdr:cNvSpPr>
      </xdr:nvSpPr>
      <xdr:spPr bwMode="auto">
        <a:xfrm flipH="1" flipV="1">
          <a:off x="0" y="0"/>
          <a:ext cx="15233650" cy="0"/>
        </a:xfrm>
        <a:prstGeom prst="line">
          <a:avLst/>
        </a:prstGeom>
        <a:noFill/>
        <a:ln w="9525">
          <a:solidFill>
            <a:srgbClr val="000000"/>
          </a:solidFill>
          <a:round/>
          <a:headEnd/>
          <a:tailEnd/>
        </a:ln>
      </xdr:spPr>
    </xdr:sp>
    <xdr:clientData/>
  </xdr:twoCellAnchor>
  <xdr:twoCellAnchor>
    <xdr:from>
      <xdr:col>0</xdr:col>
      <xdr:colOff>9525</xdr:colOff>
      <xdr:row>0</xdr:row>
      <xdr:rowOff>0</xdr:rowOff>
    </xdr:from>
    <xdr:to>
      <xdr:col>0</xdr:col>
      <xdr:colOff>9525</xdr:colOff>
      <xdr:row>0</xdr:row>
      <xdr:rowOff>0</xdr:rowOff>
    </xdr:to>
    <xdr:sp macro="" textlink="">
      <xdr:nvSpPr>
        <xdr:cNvPr id="19" name="Line 18">
          <a:extLst>
            <a:ext uri="{FF2B5EF4-FFF2-40B4-BE49-F238E27FC236}">
              <a16:creationId xmlns:a16="http://schemas.microsoft.com/office/drawing/2014/main" id="{00000000-0008-0000-0800-000013000000}"/>
            </a:ext>
          </a:extLst>
        </xdr:cNvPr>
        <xdr:cNvSpPr>
          <a:spLocks noChangeShapeType="1"/>
        </xdr:cNvSpPr>
      </xdr:nvSpPr>
      <xdr:spPr bwMode="auto">
        <a:xfrm>
          <a:off x="9525" y="0"/>
          <a:ext cx="0" cy="0"/>
        </a:xfrm>
        <a:prstGeom prst="line">
          <a:avLst/>
        </a:prstGeom>
        <a:noFill/>
        <a:ln w="9525">
          <a:solidFill>
            <a:srgbClr val="000000"/>
          </a:solidFill>
          <a:round/>
          <a:headEnd/>
          <a:tailEnd/>
        </a:ln>
      </xdr:spPr>
    </xdr:sp>
    <xdr:clientData/>
  </xdr:twoCellAnchor>
  <xdr:twoCellAnchor>
    <xdr:from>
      <xdr:col>6</xdr:col>
      <xdr:colOff>19050</xdr:colOff>
      <xdr:row>0</xdr:row>
      <xdr:rowOff>0</xdr:rowOff>
    </xdr:from>
    <xdr:to>
      <xdr:col>22</xdr:col>
      <xdr:colOff>19050</xdr:colOff>
      <xdr:row>0</xdr:row>
      <xdr:rowOff>0</xdr:rowOff>
    </xdr:to>
    <xdr:sp macro="" textlink="">
      <xdr:nvSpPr>
        <xdr:cNvPr id="20" name="Line 19">
          <a:extLst>
            <a:ext uri="{FF2B5EF4-FFF2-40B4-BE49-F238E27FC236}">
              <a16:creationId xmlns:a16="http://schemas.microsoft.com/office/drawing/2014/main" id="{00000000-0008-0000-0800-000014000000}"/>
            </a:ext>
          </a:extLst>
        </xdr:cNvPr>
        <xdr:cNvSpPr>
          <a:spLocks noChangeShapeType="1"/>
        </xdr:cNvSpPr>
      </xdr:nvSpPr>
      <xdr:spPr bwMode="auto">
        <a:xfrm>
          <a:off x="1200150" y="0"/>
          <a:ext cx="11290300" cy="0"/>
        </a:xfrm>
        <a:prstGeom prst="line">
          <a:avLst/>
        </a:prstGeom>
        <a:noFill/>
        <a:ln w="9525">
          <a:solidFill>
            <a:srgbClr val="000000"/>
          </a:solidFill>
          <a:round/>
          <a:headEnd/>
          <a:tailEnd/>
        </a:ln>
      </xdr:spPr>
    </xdr:sp>
    <xdr:clientData/>
  </xdr:twoCellAnchor>
  <xdr:twoCellAnchor>
    <xdr:from>
      <xdr:col>5</xdr:col>
      <xdr:colOff>0</xdr:colOff>
      <xdr:row>0</xdr:row>
      <xdr:rowOff>0</xdr:rowOff>
    </xdr:from>
    <xdr:to>
      <xdr:col>26</xdr:col>
      <xdr:colOff>0</xdr:colOff>
      <xdr:row>0</xdr:row>
      <xdr:rowOff>0</xdr:rowOff>
    </xdr:to>
    <xdr:sp macro="" textlink="">
      <xdr:nvSpPr>
        <xdr:cNvPr id="21" name="Line 20">
          <a:extLst>
            <a:ext uri="{FF2B5EF4-FFF2-40B4-BE49-F238E27FC236}">
              <a16:creationId xmlns:a16="http://schemas.microsoft.com/office/drawing/2014/main" id="{00000000-0008-0000-0800-000015000000}"/>
            </a:ext>
          </a:extLst>
        </xdr:cNvPr>
        <xdr:cNvSpPr>
          <a:spLocks noChangeShapeType="1"/>
        </xdr:cNvSpPr>
      </xdr:nvSpPr>
      <xdr:spPr bwMode="auto">
        <a:xfrm>
          <a:off x="984250" y="0"/>
          <a:ext cx="14204950" cy="0"/>
        </a:xfrm>
        <a:prstGeom prst="line">
          <a:avLst/>
        </a:prstGeom>
        <a:noFill/>
        <a:ln w="9525">
          <a:solidFill>
            <a:srgbClr val="000000"/>
          </a:solidFill>
          <a:round/>
          <a:headEnd/>
          <a:tailEnd/>
        </a:ln>
      </xdr:spPr>
    </xdr:sp>
    <xdr:clientData/>
  </xdr:twoCellAnchor>
  <xdr:twoCellAnchor>
    <xdr:from>
      <xdr:col>0</xdr:col>
      <xdr:colOff>19050</xdr:colOff>
      <xdr:row>0</xdr:row>
      <xdr:rowOff>0</xdr:rowOff>
    </xdr:from>
    <xdr:to>
      <xdr:col>25</xdr:col>
      <xdr:colOff>9525</xdr:colOff>
      <xdr:row>0</xdr:row>
      <xdr:rowOff>0</xdr:rowOff>
    </xdr:to>
    <xdr:sp macro="" textlink="">
      <xdr:nvSpPr>
        <xdr:cNvPr id="22" name="Line 21">
          <a:extLst>
            <a:ext uri="{FF2B5EF4-FFF2-40B4-BE49-F238E27FC236}">
              <a16:creationId xmlns:a16="http://schemas.microsoft.com/office/drawing/2014/main" id="{00000000-0008-0000-0800-000016000000}"/>
            </a:ext>
          </a:extLst>
        </xdr:cNvPr>
        <xdr:cNvSpPr>
          <a:spLocks noChangeShapeType="1"/>
        </xdr:cNvSpPr>
      </xdr:nvSpPr>
      <xdr:spPr bwMode="auto">
        <a:xfrm>
          <a:off x="19050" y="0"/>
          <a:ext cx="14284325"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23" name="Line 22">
          <a:extLst>
            <a:ext uri="{FF2B5EF4-FFF2-40B4-BE49-F238E27FC236}">
              <a16:creationId xmlns:a16="http://schemas.microsoft.com/office/drawing/2014/main" id="{00000000-0008-0000-0800-000017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8</xdr:col>
      <xdr:colOff>0</xdr:colOff>
      <xdr:row>0</xdr:row>
      <xdr:rowOff>0</xdr:rowOff>
    </xdr:to>
    <xdr:sp macro="" textlink="">
      <xdr:nvSpPr>
        <xdr:cNvPr id="24" name="Line 23">
          <a:extLst>
            <a:ext uri="{FF2B5EF4-FFF2-40B4-BE49-F238E27FC236}">
              <a16:creationId xmlns:a16="http://schemas.microsoft.com/office/drawing/2014/main" id="{00000000-0008-0000-0800-000018000000}"/>
            </a:ext>
          </a:extLst>
        </xdr:cNvPr>
        <xdr:cNvSpPr>
          <a:spLocks noChangeShapeType="1"/>
        </xdr:cNvSpPr>
      </xdr:nvSpPr>
      <xdr:spPr bwMode="auto">
        <a:xfrm flipV="1">
          <a:off x="1644650" y="0"/>
          <a:ext cx="0" cy="0"/>
        </a:xfrm>
        <a:prstGeom prst="line">
          <a:avLst/>
        </a:prstGeom>
        <a:noFill/>
        <a:ln w="9525">
          <a:solidFill>
            <a:srgbClr val="000000"/>
          </a:solidFill>
          <a:round/>
          <a:headEnd/>
          <a:tailEnd/>
        </a:ln>
      </xdr:spPr>
    </xdr:sp>
    <xdr:clientData/>
  </xdr:twoCellAnchor>
  <xdr:twoCellAnchor>
    <xdr:from>
      <xdr:col>6</xdr:col>
      <xdr:colOff>0</xdr:colOff>
      <xdr:row>0</xdr:row>
      <xdr:rowOff>0</xdr:rowOff>
    </xdr:from>
    <xdr:to>
      <xdr:col>6</xdr:col>
      <xdr:colOff>0</xdr:colOff>
      <xdr:row>0</xdr:row>
      <xdr:rowOff>0</xdr:rowOff>
    </xdr:to>
    <xdr:sp macro="" textlink="">
      <xdr:nvSpPr>
        <xdr:cNvPr id="25" name="Line 24">
          <a:extLst>
            <a:ext uri="{FF2B5EF4-FFF2-40B4-BE49-F238E27FC236}">
              <a16:creationId xmlns:a16="http://schemas.microsoft.com/office/drawing/2014/main" id="{00000000-0008-0000-0800-000019000000}"/>
            </a:ext>
          </a:extLst>
        </xdr:cNvPr>
        <xdr:cNvSpPr>
          <a:spLocks noChangeShapeType="1"/>
        </xdr:cNvSpPr>
      </xdr:nvSpPr>
      <xdr:spPr bwMode="auto">
        <a:xfrm>
          <a:off x="1181100" y="0"/>
          <a:ext cx="0" cy="0"/>
        </a:xfrm>
        <a:prstGeom prst="line">
          <a:avLst/>
        </a:prstGeom>
        <a:noFill/>
        <a:ln w="9525">
          <a:solidFill>
            <a:srgbClr val="000000"/>
          </a:solidFill>
          <a:round/>
          <a:headEnd/>
          <a:tailEnd/>
        </a:ln>
      </xdr:spPr>
    </xdr:sp>
    <xdr:clientData/>
  </xdr:twoCellAnchor>
  <xdr:twoCellAnchor>
    <xdr:from>
      <xdr:col>21</xdr:col>
      <xdr:colOff>238125</xdr:colOff>
      <xdr:row>0</xdr:row>
      <xdr:rowOff>0</xdr:rowOff>
    </xdr:from>
    <xdr:to>
      <xdr:col>21</xdr:col>
      <xdr:colOff>238125</xdr:colOff>
      <xdr:row>0</xdr:row>
      <xdr:rowOff>0</xdr:rowOff>
    </xdr:to>
    <xdr:sp macro="" textlink="">
      <xdr:nvSpPr>
        <xdr:cNvPr id="26" name="Line 25">
          <a:extLst>
            <a:ext uri="{FF2B5EF4-FFF2-40B4-BE49-F238E27FC236}">
              <a16:creationId xmlns:a16="http://schemas.microsoft.com/office/drawing/2014/main" id="{00000000-0008-0000-0800-00001A000000}"/>
            </a:ext>
          </a:extLst>
        </xdr:cNvPr>
        <xdr:cNvSpPr>
          <a:spLocks noChangeShapeType="1"/>
        </xdr:cNvSpPr>
      </xdr:nvSpPr>
      <xdr:spPr bwMode="auto">
        <a:xfrm>
          <a:off x="12372975" y="0"/>
          <a:ext cx="0" cy="0"/>
        </a:xfrm>
        <a:prstGeom prst="line">
          <a:avLst/>
        </a:prstGeom>
        <a:noFill/>
        <a:ln w="9525">
          <a:solidFill>
            <a:srgbClr val="000000"/>
          </a:solidFill>
          <a:round/>
          <a:headEnd/>
          <a:tailEnd/>
        </a:ln>
      </xdr:spPr>
    </xdr:sp>
    <xdr:clientData/>
  </xdr:twoCellAnchor>
  <xdr:twoCellAnchor>
    <xdr:from>
      <xdr:col>21</xdr:col>
      <xdr:colOff>66675</xdr:colOff>
      <xdr:row>0</xdr:row>
      <xdr:rowOff>0</xdr:rowOff>
    </xdr:from>
    <xdr:to>
      <xdr:col>26</xdr:col>
      <xdr:colOff>9525</xdr:colOff>
      <xdr:row>0</xdr:row>
      <xdr:rowOff>0</xdr:rowOff>
    </xdr:to>
    <xdr:sp macro="" textlink="">
      <xdr:nvSpPr>
        <xdr:cNvPr id="27" name="Line 26">
          <a:extLst>
            <a:ext uri="{FF2B5EF4-FFF2-40B4-BE49-F238E27FC236}">
              <a16:creationId xmlns:a16="http://schemas.microsoft.com/office/drawing/2014/main" id="{00000000-0008-0000-0800-00001B000000}"/>
            </a:ext>
          </a:extLst>
        </xdr:cNvPr>
        <xdr:cNvSpPr>
          <a:spLocks noChangeShapeType="1"/>
        </xdr:cNvSpPr>
      </xdr:nvSpPr>
      <xdr:spPr bwMode="auto">
        <a:xfrm>
          <a:off x="12201525" y="0"/>
          <a:ext cx="2997200" cy="0"/>
        </a:xfrm>
        <a:prstGeom prst="line">
          <a:avLst/>
        </a:prstGeom>
        <a:noFill/>
        <a:ln w="9525">
          <a:solidFill>
            <a:srgbClr val="000000"/>
          </a:solidFill>
          <a:round/>
          <a:headEnd/>
          <a:tailEnd/>
        </a:ln>
      </xdr:spPr>
    </xdr:sp>
    <xdr:clientData/>
  </xdr:twoCellAnchor>
  <xdr:twoCellAnchor>
    <xdr:from>
      <xdr:col>17</xdr:col>
      <xdr:colOff>19050</xdr:colOff>
      <xdr:row>0</xdr:row>
      <xdr:rowOff>0</xdr:rowOff>
    </xdr:from>
    <xdr:to>
      <xdr:col>22</xdr:col>
      <xdr:colOff>19050</xdr:colOff>
      <xdr:row>0</xdr:row>
      <xdr:rowOff>0</xdr:rowOff>
    </xdr:to>
    <xdr:sp macro="" textlink="">
      <xdr:nvSpPr>
        <xdr:cNvPr id="28" name="Line 27">
          <a:extLst>
            <a:ext uri="{FF2B5EF4-FFF2-40B4-BE49-F238E27FC236}">
              <a16:creationId xmlns:a16="http://schemas.microsoft.com/office/drawing/2014/main" id="{00000000-0008-0000-0800-00001C000000}"/>
            </a:ext>
          </a:extLst>
        </xdr:cNvPr>
        <xdr:cNvSpPr>
          <a:spLocks noChangeShapeType="1"/>
        </xdr:cNvSpPr>
      </xdr:nvSpPr>
      <xdr:spPr bwMode="auto">
        <a:xfrm>
          <a:off x="11055350" y="0"/>
          <a:ext cx="143510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29" name="Line 28">
          <a:extLst>
            <a:ext uri="{FF2B5EF4-FFF2-40B4-BE49-F238E27FC236}">
              <a16:creationId xmlns:a16="http://schemas.microsoft.com/office/drawing/2014/main" id="{00000000-0008-0000-0800-00001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18</xdr:col>
      <xdr:colOff>9525</xdr:colOff>
      <xdr:row>0</xdr:row>
      <xdr:rowOff>0</xdr:rowOff>
    </xdr:from>
    <xdr:to>
      <xdr:col>18</xdr:col>
      <xdr:colOff>9525</xdr:colOff>
      <xdr:row>0</xdr:row>
      <xdr:rowOff>0</xdr:rowOff>
    </xdr:to>
    <xdr:sp macro="" textlink="">
      <xdr:nvSpPr>
        <xdr:cNvPr id="30" name="Line 29">
          <a:extLst>
            <a:ext uri="{FF2B5EF4-FFF2-40B4-BE49-F238E27FC236}">
              <a16:creationId xmlns:a16="http://schemas.microsoft.com/office/drawing/2014/main" id="{00000000-0008-0000-0800-00001E000000}"/>
            </a:ext>
          </a:extLst>
        </xdr:cNvPr>
        <xdr:cNvSpPr>
          <a:spLocks noChangeShapeType="1"/>
        </xdr:cNvSpPr>
      </xdr:nvSpPr>
      <xdr:spPr bwMode="auto">
        <a:xfrm>
          <a:off x="11312525" y="0"/>
          <a:ext cx="0" cy="0"/>
        </a:xfrm>
        <a:prstGeom prst="line">
          <a:avLst/>
        </a:prstGeom>
        <a:noFill/>
        <a:ln w="9525">
          <a:solidFill>
            <a:srgbClr val="000000"/>
          </a:solidFill>
          <a:round/>
          <a:headEnd/>
          <a:tailEnd/>
        </a:ln>
      </xdr:spPr>
    </xdr:sp>
    <xdr:clientData/>
  </xdr:twoCellAnchor>
  <xdr:twoCellAnchor>
    <xdr:from>
      <xdr:col>25</xdr:col>
      <xdr:colOff>0</xdr:colOff>
      <xdr:row>0</xdr:row>
      <xdr:rowOff>0</xdr:rowOff>
    </xdr:from>
    <xdr:to>
      <xdr:col>27</xdr:col>
      <xdr:colOff>0</xdr:colOff>
      <xdr:row>0</xdr:row>
      <xdr:rowOff>0</xdr:rowOff>
    </xdr:to>
    <xdr:sp macro="" textlink="">
      <xdr:nvSpPr>
        <xdr:cNvPr id="31" name="Line 30">
          <a:extLst>
            <a:ext uri="{FF2B5EF4-FFF2-40B4-BE49-F238E27FC236}">
              <a16:creationId xmlns:a16="http://schemas.microsoft.com/office/drawing/2014/main" id="{00000000-0008-0000-0800-00001F000000}"/>
            </a:ext>
          </a:extLst>
        </xdr:cNvPr>
        <xdr:cNvSpPr>
          <a:spLocks noChangeShapeType="1"/>
        </xdr:cNvSpPr>
      </xdr:nvSpPr>
      <xdr:spPr bwMode="auto">
        <a:xfrm>
          <a:off x="14293850" y="0"/>
          <a:ext cx="1301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32" name="Line 31">
          <a:extLst>
            <a:ext uri="{FF2B5EF4-FFF2-40B4-BE49-F238E27FC236}">
              <a16:creationId xmlns:a16="http://schemas.microsoft.com/office/drawing/2014/main" id="{00000000-0008-0000-0800-000020000000}"/>
            </a:ext>
          </a:extLst>
        </xdr:cNvPr>
        <xdr:cNvSpPr>
          <a:spLocks noChangeShapeType="1"/>
        </xdr:cNvSpPr>
      </xdr:nvSpPr>
      <xdr:spPr bwMode="auto">
        <a:xfrm>
          <a:off x="1213485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3" name="Line 32">
          <a:extLst>
            <a:ext uri="{FF2B5EF4-FFF2-40B4-BE49-F238E27FC236}">
              <a16:creationId xmlns:a16="http://schemas.microsoft.com/office/drawing/2014/main" id="{00000000-0008-0000-0800-000021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4" name="Line 33">
          <a:extLst>
            <a:ext uri="{FF2B5EF4-FFF2-40B4-BE49-F238E27FC236}">
              <a16:creationId xmlns:a16="http://schemas.microsoft.com/office/drawing/2014/main" id="{00000000-0008-0000-0800-000022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5" name="Line 34">
          <a:extLst>
            <a:ext uri="{FF2B5EF4-FFF2-40B4-BE49-F238E27FC236}">
              <a16:creationId xmlns:a16="http://schemas.microsoft.com/office/drawing/2014/main" id="{00000000-0008-0000-0800-000023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27</xdr:col>
      <xdr:colOff>0</xdr:colOff>
      <xdr:row>0</xdr:row>
      <xdr:rowOff>0</xdr:rowOff>
    </xdr:to>
    <xdr:sp macro="" textlink="">
      <xdr:nvSpPr>
        <xdr:cNvPr id="36" name="Line 35">
          <a:extLst>
            <a:ext uri="{FF2B5EF4-FFF2-40B4-BE49-F238E27FC236}">
              <a16:creationId xmlns:a16="http://schemas.microsoft.com/office/drawing/2014/main" id="{00000000-0008-0000-0800-000024000000}"/>
            </a:ext>
          </a:extLst>
        </xdr:cNvPr>
        <xdr:cNvSpPr>
          <a:spLocks noChangeShapeType="1"/>
        </xdr:cNvSpPr>
      </xdr:nvSpPr>
      <xdr:spPr bwMode="auto">
        <a:xfrm>
          <a:off x="12134850" y="0"/>
          <a:ext cx="3460750" cy="0"/>
        </a:xfrm>
        <a:prstGeom prst="line">
          <a:avLst/>
        </a:prstGeom>
        <a:noFill/>
        <a:ln w="9525">
          <a:solidFill>
            <a:srgbClr val="000000"/>
          </a:solidFill>
          <a:round/>
          <a:headEnd/>
          <a:tailEnd/>
        </a:ln>
      </xdr:spPr>
    </xdr:sp>
    <xdr:clientData/>
  </xdr:twoCellAnchor>
  <xdr:twoCellAnchor>
    <xdr:from>
      <xdr:col>21</xdr:col>
      <xdr:colOff>9525</xdr:colOff>
      <xdr:row>0</xdr:row>
      <xdr:rowOff>0</xdr:rowOff>
    </xdr:from>
    <xdr:to>
      <xdr:col>27</xdr:col>
      <xdr:colOff>0</xdr:colOff>
      <xdr:row>0</xdr:row>
      <xdr:rowOff>0</xdr:rowOff>
    </xdr:to>
    <xdr:sp macro="" textlink="">
      <xdr:nvSpPr>
        <xdr:cNvPr id="37" name="Line 36">
          <a:extLst>
            <a:ext uri="{FF2B5EF4-FFF2-40B4-BE49-F238E27FC236}">
              <a16:creationId xmlns:a16="http://schemas.microsoft.com/office/drawing/2014/main" id="{00000000-0008-0000-0800-000025000000}"/>
            </a:ext>
          </a:extLst>
        </xdr:cNvPr>
        <xdr:cNvSpPr>
          <a:spLocks noChangeShapeType="1"/>
        </xdr:cNvSpPr>
      </xdr:nvSpPr>
      <xdr:spPr bwMode="auto">
        <a:xfrm>
          <a:off x="12144375" y="0"/>
          <a:ext cx="3451225" cy="0"/>
        </a:xfrm>
        <a:prstGeom prst="line">
          <a:avLst/>
        </a:prstGeom>
        <a:noFill/>
        <a:ln w="9525">
          <a:solidFill>
            <a:srgbClr val="000000"/>
          </a:solidFill>
          <a:round/>
          <a:headEnd/>
          <a:tailEnd/>
        </a:ln>
      </xdr:spPr>
    </xdr:sp>
    <xdr:clientData/>
  </xdr:twoCellAnchor>
  <xdr:twoCellAnchor>
    <xdr:from>
      <xdr:col>23</xdr:col>
      <xdr:colOff>9525</xdr:colOff>
      <xdr:row>0</xdr:row>
      <xdr:rowOff>0</xdr:rowOff>
    </xdr:from>
    <xdr:to>
      <xdr:col>23</xdr:col>
      <xdr:colOff>9525</xdr:colOff>
      <xdr:row>0</xdr:row>
      <xdr:rowOff>0</xdr:rowOff>
    </xdr:to>
    <xdr:sp macro="" textlink="">
      <xdr:nvSpPr>
        <xdr:cNvPr id="38" name="Line 37">
          <a:extLst>
            <a:ext uri="{FF2B5EF4-FFF2-40B4-BE49-F238E27FC236}">
              <a16:creationId xmlns:a16="http://schemas.microsoft.com/office/drawing/2014/main" id="{00000000-0008-0000-0800-000026000000}"/>
            </a:ext>
          </a:extLst>
        </xdr:cNvPr>
        <xdr:cNvSpPr>
          <a:spLocks noChangeShapeType="1"/>
        </xdr:cNvSpPr>
      </xdr:nvSpPr>
      <xdr:spPr bwMode="auto">
        <a:xfrm>
          <a:off x="12747625"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409575</xdr:colOff>
      <xdr:row>0</xdr:row>
      <xdr:rowOff>0</xdr:rowOff>
    </xdr:to>
    <xdr:sp macro="" textlink="">
      <xdr:nvSpPr>
        <xdr:cNvPr id="39" name="Line 38">
          <a:extLst>
            <a:ext uri="{FF2B5EF4-FFF2-40B4-BE49-F238E27FC236}">
              <a16:creationId xmlns:a16="http://schemas.microsoft.com/office/drawing/2014/main" id="{00000000-0008-0000-0800-000027000000}"/>
            </a:ext>
          </a:extLst>
        </xdr:cNvPr>
        <xdr:cNvSpPr>
          <a:spLocks noChangeShapeType="1"/>
        </xdr:cNvSpPr>
      </xdr:nvSpPr>
      <xdr:spPr bwMode="auto">
        <a:xfrm flipH="1">
          <a:off x="14693900" y="0"/>
          <a:ext cx="9525"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0" name="Line 39">
          <a:extLst>
            <a:ext uri="{FF2B5EF4-FFF2-40B4-BE49-F238E27FC236}">
              <a16:creationId xmlns:a16="http://schemas.microsoft.com/office/drawing/2014/main" id="{00000000-0008-0000-0800-000028000000}"/>
            </a:ext>
          </a:extLst>
        </xdr:cNvPr>
        <xdr:cNvSpPr>
          <a:spLocks noChangeShapeType="1"/>
        </xdr:cNvSpPr>
      </xdr:nvSpPr>
      <xdr:spPr bwMode="auto">
        <a:xfrm flipV="1">
          <a:off x="14693900" y="0"/>
          <a:ext cx="0" cy="0"/>
        </a:xfrm>
        <a:prstGeom prst="line">
          <a:avLst/>
        </a:prstGeom>
        <a:noFill/>
        <a:ln w="9525">
          <a:solidFill>
            <a:srgbClr val="000000"/>
          </a:solidFill>
          <a:round/>
          <a:headEnd/>
          <a:tailEnd/>
        </a:ln>
      </xdr:spPr>
    </xdr:sp>
    <xdr:clientData/>
  </xdr:twoCellAnchor>
  <xdr:twoCellAnchor>
    <xdr:from>
      <xdr:col>25</xdr:col>
      <xdr:colOff>400050</xdr:colOff>
      <xdr:row>0</xdr:row>
      <xdr:rowOff>0</xdr:rowOff>
    </xdr:from>
    <xdr:to>
      <xdr:col>25</xdr:col>
      <xdr:colOff>400050</xdr:colOff>
      <xdr:row>0</xdr:row>
      <xdr:rowOff>0</xdr:rowOff>
    </xdr:to>
    <xdr:sp macro="" textlink="">
      <xdr:nvSpPr>
        <xdr:cNvPr id="41" name="Line 40">
          <a:extLst>
            <a:ext uri="{FF2B5EF4-FFF2-40B4-BE49-F238E27FC236}">
              <a16:creationId xmlns:a16="http://schemas.microsoft.com/office/drawing/2014/main" id="{00000000-0008-0000-0800-000029000000}"/>
            </a:ext>
          </a:extLst>
        </xdr:cNvPr>
        <xdr:cNvSpPr>
          <a:spLocks noChangeShapeType="1"/>
        </xdr:cNvSpPr>
      </xdr:nvSpPr>
      <xdr:spPr bwMode="auto">
        <a:xfrm>
          <a:off x="14693900" y="0"/>
          <a:ext cx="0" cy="0"/>
        </a:xfrm>
        <a:prstGeom prst="line">
          <a:avLst/>
        </a:prstGeom>
        <a:noFill/>
        <a:ln w="9525">
          <a:solidFill>
            <a:srgbClr val="000000"/>
          </a:solidFill>
          <a:round/>
          <a:headEnd/>
          <a:tailEnd/>
        </a:ln>
      </xdr:spPr>
    </xdr:sp>
    <xdr:clientData/>
  </xdr:twoCellAnchor>
  <xdr:twoCellAnchor>
    <xdr:from>
      <xdr:col>24</xdr:col>
      <xdr:colOff>228600</xdr:colOff>
      <xdr:row>0</xdr:row>
      <xdr:rowOff>0</xdr:rowOff>
    </xdr:from>
    <xdr:to>
      <xdr:col>24</xdr:col>
      <xdr:colOff>228600</xdr:colOff>
      <xdr:row>0</xdr:row>
      <xdr:rowOff>0</xdr:rowOff>
    </xdr:to>
    <xdr:sp macro="" textlink="">
      <xdr:nvSpPr>
        <xdr:cNvPr id="42" name="Line 41">
          <a:extLst>
            <a:ext uri="{FF2B5EF4-FFF2-40B4-BE49-F238E27FC236}">
              <a16:creationId xmlns:a16="http://schemas.microsoft.com/office/drawing/2014/main" id="{00000000-0008-0000-0800-00002A000000}"/>
            </a:ext>
          </a:extLst>
        </xdr:cNvPr>
        <xdr:cNvSpPr>
          <a:spLocks noChangeShapeType="1"/>
        </xdr:cNvSpPr>
      </xdr:nvSpPr>
      <xdr:spPr bwMode="auto">
        <a:xfrm>
          <a:off x="13303250" y="0"/>
          <a:ext cx="0" cy="0"/>
        </a:xfrm>
        <a:prstGeom prst="line">
          <a:avLst/>
        </a:prstGeom>
        <a:noFill/>
        <a:ln w="9525">
          <a:solidFill>
            <a:srgbClr val="000000"/>
          </a:solidFill>
          <a:round/>
          <a:headEnd/>
          <a:tailEnd/>
        </a:ln>
      </xdr:spPr>
    </xdr:sp>
    <xdr:clientData/>
  </xdr:twoCellAnchor>
  <xdr:twoCellAnchor>
    <xdr:from>
      <xdr:col>25</xdr:col>
      <xdr:colOff>847725</xdr:colOff>
      <xdr:row>0</xdr:row>
      <xdr:rowOff>0</xdr:rowOff>
    </xdr:from>
    <xdr:to>
      <xdr:col>25</xdr:col>
      <xdr:colOff>847725</xdr:colOff>
      <xdr:row>0</xdr:row>
      <xdr:rowOff>0</xdr:rowOff>
    </xdr:to>
    <xdr:sp macro="" textlink="">
      <xdr:nvSpPr>
        <xdr:cNvPr id="43" name="Line 42">
          <a:extLst>
            <a:ext uri="{FF2B5EF4-FFF2-40B4-BE49-F238E27FC236}">
              <a16:creationId xmlns:a16="http://schemas.microsoft.com/office/drawing/2014/main" id="{00000000-0008-0000-0800-00002B000000}"/>
            </a:ext>
          </a:extLst>
        </xdr:cNvPr>
        <xdr:cNvSpPr>
          <a:spLocks noChangeShapeType="1"/>
        </xdr:cNvSpPr>
      </xdr:nvSpPr>
      <xdr:spPr bwMode="auto">
        <a:xfrm>
          <a:off x="15141575" y="0"/>
          <a:ext cx="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12</xdr:col>
      <xdr:colOff>0</xdr:colOff>
      <xdr:row>0</xdr:row>
      <xdr:rowOff>0</xdr:rowOff>
    </xdr:to>
    <xdr:sp macro="" textlink="">
      <xdr:nvSpPr>
        <xdr:cNvPr id="44" name="Line 43">
          <a:extLst>
            <a:ext uri="{FF2B5EF4-FFF2-40B4-BE49-F238E27FC236}">
              <a16:creationId xmlns:a16="http://schemas.microsoft.com/office/drawing/2014/main" id="{00000000-0008-0000-0800-00002C000000}"/>
            </a:ext>
          </a:extLst>
        </xdr:cNvPr>
        <xdr:cNvSpPr>
          <a:spLocks noChangeShapeType="1"/>
        </xdr:cNvSpPr>
      </xdr:nvSpPr>
      <xdr:spPr bwMode="auto">
        <a:xfrm>
          <a:off x="6321425" y="0"/>
          <a:ext cx="295275"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45" name="Line 44">
          <a:extLst>
            <a:ext uri="{FF2B5EF4-FFF2-40B4-BE49-F238E27FC236}">
              <a16:creationId xmlns:a16="http://schemas.microsoft.com/office/drawing/2014/main" id="{00000000-0008-0000-0800-00002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17</xdr:col>
      <xdr:colOff>0</xdr:colOff>
      <xdr:row>0</xdr:row>
      <xdr:rowOff>0</xdr:rowOff>
    </xdr:to>
    <xdr:sp macro="" textlink="">
      <xdr:nvSpPr>
        <xdr:cNvPr id="46" name="Line 45">
          <a:extLst>
            <a:ext uri="{FF2B5EF4-FFF2-40B4-BE49-F238E27FC236}">
              <a16:creationId xmlns:a16="http://schemas.microsoft.com/office/drawing/2014/main" id="{00000000-0008-0000-0800-00002E000000}"/>
            </a:ext>
          </a:extLst>
        </xdr:cNvPr>
        <xdr:cNvSpPr>
          <a:spLocks noChangeShapeType="1"/>
        </xdr:cNvSpPr>
      </xdr:nvSpPr>
      <xdr:spPr bwMode="auto">
        <a:xfrm>
          <a:off x="10769600" y="0"/>
          <a:ext cx="266700" cy="0"/>
        </a:xfrm>
        <a:prstGeom prst="line">
          <a:avLst/>
        </a:prstGeom>
        <a:noFill/>
        <a:ln w="9525">
          <a:solidFill>
            <a:srgbClr val="000000"/>
          </a:solidFill>
          <a:round/>
          <a:headEnd/>
          <a:tailEnd/>
        </a:ln>
      </xdr:spPr>
    </xdr:sp>
    <xdr:clientData/>
  </xdr:twoCellAnchor>
  <xdr:twoCellAnchor>
    <xdr:from>
      <xdr:col>11</xdr:col>
      <xdr:colOff>561975</xdr:colOff>
      <xdr:row>0</xdr:row>
      <xdr:rowOff>0</xdr:rowOff>
    </xdr:from>
    <xdr:to>
      <xdr:col>16</xdr:col>
      <xdr:colOff>95250</xdr:colOff>
      <xdr:row>0</xdr:row>
      <xdr:rowOff>0</xdr:rowOff>
    </xdr:to>
    <xdr:sp macro="" textlink="">
      <xdr:nvSpPr>
        <xdr:cNvPr id="47" name="Line 46">
          <a:extLst>
            <a:ext uri="{FF2B5EF4-FFF2-40B4-BE49-F238E27FC236}">
              <a16:creationId xmlns:a16="http://schemas.microsoft.com/office/drawing/2014/main" id="{00000000-0008-0000-0800-00002F000000}"/>
            </a:ext>
          </a:extLst>
        </xdr:cNvPr>
        <xdr:cNvSpPr>
          <a:spLocks noChangeShapeType="1"/>
        </xdr:cNvSpPr>
      </xdr:nvSpPr>
      <xdr:spPr bwMode="auto">
        <a:xfrm>
          <a:off x="6321425" y="0"/>
          <a:ext cx="4543425" cy="0"/>
        </a:xfrm>
        <a:prstGeom prst="line">
          <a:avLst/>
        </a:prstGeom>
        <a:noFill/>
        <a:ln w="9525">
          <a:solidFill>
            <a:srgbClr val="000000"/>
          </a:solidFill>
          <a:round/>
          <a:headEnd/>
          <a:tailEnd/>
        </a:ln>
      </xdr:spPr>
    </xdr:sp>
    <xdr:clientData/>
  </xdr:twoCellAnchor>
  <xdr:twoCellAnchor>
    <xdr:from>
      <xdr:col>16</xdr:col>
      <xdr:colOff>28575</xdr:colOff>
      <xdr:row>0</xdr:row>
      <xdr:rowOff>0</xdr:rowOff>
    </xdr:from>
    <xdr:to>
      <xdr:col>19</xdr:col>
      <xdr:colOff>142875</xdr:colOff>
      <xdr:row>0</xdr:row>
      <xdr:rowOff>0</xdr:rowOff>
    </xdr:to>
    <xdr:sp macro="" textlink="">
      <xdr:nvSpPr>
        <xdr:cNvPr id="48" name="Line 47">
          <a:extLst>
            <a:ext uri="{FF2B5EF4-FFF2-40B4-BE49-F238E27FC236}">
              <a16:creationId xmlns:a16="http://schemas.microsoft.com/office/drawing/2014/main" id="{00000000-0008-0000-0800-000030000000}"/>
            </a:ext>
          </a:extLst>
        </xdr:cNvPr>
        <xdr:cNvSpPr>
          <a:spLocks noChangeShapeType="1"/>
        </xdr:cNvSpPr>
      </xdr:nvSpPr>
      <xdr:spPr bwMode="auto">
        <a:xfrm>
          <a:off x="10798175" y="0"/>
          <a:ext cx="914400" cy="0"/>
        </a:xfrm>
        <a:prstGeom prst="line">
          <a:avLst/>
        </a:prstGeom>
        <a:noFill/>
        <a:ln w="9525">
          <a:solidFill>
            <a:srgbClr val="000000"/>
          </a:solidFill>
          <a:round/>
          <a:headEnd/>
          <a:tailEnd/>
        </a:ln>
      </xdr:spPr>
    </xdr:sp>
    <xdr:clientData/>
  </xdr:twoCellAnchor>
  <xdr:twoCellAnchor>
    <xdr:from>
      <xdr:col>2</xdr:col>
      <xdr:colOff>0</xdr:colOff>
      <xdr:row>0</xdr:row>
      <xdr:rowOff>0</xdr:rowOff>
    </xdr:from>
    <xdr:to>
      <xdr:col>2</xdr:col>
      <xdr:colOff>0</xdr:colOff>
      <xdr:row>0</xdr:row>
      <xdr:rowOff>0</xdr:rowOff>
    </xdr:to>
    <xdr:sp macro="" textlink="">
      <xdr:nvSpPr>
        <xdr:cNvPr id="49" name="Line 48">
          <a:extLst>
            <a:ext uri="{FF2B5EF4-FFF2-40B4-BE49-F238E27FC236}">
              <a16:creationId xmlns:a16="http://schemas.microsoft.com/office/drawing/2014/main" id="{00000000-0008-0000-0800-000031000000}"/>
            </a:ext>
          </a:extLst>
        </xdr:cNvPr>
        <xdr:cNvSpPr>
          <a:spLocks noChangeShapeType="1"/>
        </xdr:cNvSpPr>
      </xdr:nvSpPr>
      <xdr:spPr bwMode="auto">
        <a:xfrm>
          <a:off x="393700" y="0"/>
          <a:ext cx="0" cy="0"/>
        </a:xfrm>
        <a:prstGeom prst="line">
          <a:avLst/>
        </a:prstGeom>
        <a:noFill/>
        <a:ln w="9525">
          <a:solidFill>
            <a:srgbClr val="000000"/>
          </a:solidFill>
          <a:round/>
          <a:headEnd/>
          <a:tailEnd/>
        </a:ln>
      </xdr:spPr>
    </xdr:sp>
    <xdr:clientData/>
  </xdr:twoCellAnchor>
  <xdr:twoCellAnchor>
    <xdr:from>
      <xdr:col>7</xdr:col>
      <xdr:colOff>0</xdr:colOff>
      <xdr:row>0</xdr:row>
      <xdr:rowOff>0</xdr:rowOff>
    </xdr:from>
    <xdr:to>
      <xdr:col>7</xdr:col>
      <xdr:colOff>0</xdr:colOff>
      <xdr:row>0</xdr:row>
      <xdr:rowOff>0</xdr:rowOff>
    </xdr:to>
    <xdr:sp macro="" textlink="">
      <xdr:nvSpPr>
        <xdr:cNvPr id="50" name="Line 50">
          <a:extLst>
            <a:ext uri="{FF2B5EF4-FFF2-40B4-BE49-F238E27FC236}">
              <a16:creationId xmlns:a16="http://schemas.microsoft.com/office/drawing/2014/main" id="{00000000-0008-0000-0800-000032000000}"/>
            </a:ext>
          </a:extLst>
        </xdr:cNvPr>
        <xdr:cNvSpPr>
          <a:spLocks noChangeShapeType="1"/>
        </xdr:cNvSpPr>
      </xdr:nvSpPr>
      <xdr:spPr bwMode="auto">
        <a:xfrm>
          <a:off x="1377950" y="0"/>
          <a:ext cx="0" cy="0"/>
        </a:xfrm>
        <a:prstGeom prst="line">
          <a:avLst/>
        </a:prstGeom>
        <a:noFill/>
        <a:ln w="9525">
          <a:solidFill>
            <a:srgbClr val="000000"/>
          </a:solidFill>
          <a:round/>
          <a:headEnd/>
          <a:tailEnd/>
        </a:ln>
      </xdr:spPr>
    </xdr:sp>
    <xdr:clientData/>
  </xdr:twoCellAnchor>
  <xdr:twoCellAnchor>
    <xdr:from>
      <xdr:col>8</xdr:col>
      <xdr:colOff>0</xdr:colOff>
      <xdr:row>0</xdr:row>
      <xdr:rowOff>0</xdr:rowOff>
    </xdr:from>
    <xdr:to>
      <xdr:col>15</xdr:col>
      <xdr:colOff>0</xdr:colOff>
      <xdr:row>0</xdr:row>
      <xdr:rowOff>0</xdr:rowOff>
    </xdr:to>
    <xdr:sp macro="" textlink="">
      <xdr:nvSpPr>
        <xdr:cNvPr id="51" name="Line 51">
          <a:extLst>
            <a:ext uri="{FF2B5EF4-FFF2-40B4-BE49-F238E27FC236}">
              <a16:creationId xmlns:a16="http://schemas.microsoft.com/office/drawing/2014/main" id="{00000000-0008-0000-0800-000033000000}"/>
            </a:ext>
          </a:extLst>
        </xdr:cNvPr>
        <xdr:cNvSpPr>
          <a:spLocks noChangeShapeType="1"/>
        </xdr:cNvSpPr>
      </xdr:nvSpPr>
      <xdr:spPr bwMode="auto">
        <a:xfrm>
          <a:off x="1644650" y="0"/>
          <a:ext cx="8509000" cy="0"/>
        </a:xfrm>
        <a:prstGeom prst="line">
          <a:avLst/>
        </a:prstGeom>
        <a:noFill/>
        <a:ln w="9525">
          <a:solidFill>
            <a:srgbClr val="000000"/>
          </a:solidFill>
          <a:round/>
          <a:headEnd/>
          <a:tailEnd/>
        </a:ln>
      </xdr:spPr>
    </xdr:sp>
    <xdr:clientData/>
  </xdr:twoCellAnchor>
  <xdr:twoCellAnchor>
    <xdr:from>
      <xdr:col>10</xdr:col>
      <xdr:colOff>9525</xdr:colOff>
      <xdr:row>0</xdr:row>
      <xdr:rowOff>0</xdr:rowOff>
    </xdr:from>
    <xdr:to>
      <xdr:col>10</xdr:col>
      <xdr:colOff>19050</xdr:colOff>
      <xdr:row>0</xdr:row>
      <xdr:rowOff>0</xdr:rowOff>
    </xdr:to>
    <xdr:sp macro="" textlink="">
      <xdr:nvSpPr>
        <xdr:cNvPr id="52" name="Line 52">
          <a:extLst>
            <a:ext uri="{FF2B5EF4-FFF2-40B4-BE49-F238E27FC236}">
              <a16:creationId xmlns:a16="http://schemas.microsoft.com/office/drawing/2014/main" id="{00000000-0008-0000-0800-000034000000}"/>
            </a:ext>
          </a:extLst>
        </xdr:cNvPr>
        <xdr:cNvSpPr>
          <a:spLocks noChangeShapeType="1"/>
        </xdr:cNvSpPr>
      </xdr:nvSpPr>
      <xdr:spPr bwMode="auto">
        <a:xfrm flipH="1">
          <a:off x="5153025" y="0"/>
          <a:ext cx="9525" cy="0"/>
        </a:xfrm>
        <a:prstGeom prst="line">
          <a:avLst/>
        </a:prstGeom>
        <a:noFill/>
        <a:ln w="9525">
          <a:solidFill>
            <a:srgbClr val="000000"/>
          </a:solidFill>
          <a:round/>
          <a:headEnd/>
          <a:tailEnd/>
        </a:ln>
      </xdr:spPr>
    </xdr:sp>
    <xdr:clientData/>
  </xdr:twoCellAnchor>
  <xdr:twoCellAnchor>
    <xdr:from>
      <xdr:col>12</xdr:col>
      <xdr:colOff>0</xdr:colOff>
      <xdr:row>0</xdr:row>
      <xdr:rowOff>0</xdr:rowOff>
    </xdr:from>
    <xdr:to>
      <xdr:col>12</xdr:col>
      <xdr:colOff>0</xdr:colOff>
      <xdr:row>0</xdr:row>
      <xdr:rowOff>0</xdr:rowOff>
    </xdr:to>
    <xdr:sp macro="" textlink="">
      <xdr:nvSpPr>
        <xdr:cNvPr id="53" name="Line 53">
          <a:extLst>
            <a:ext uri="{FF2B5EF4-FFF2-40B4-BE49-F238E27FC236}">
              <a16:creationId xmlns:a16="http://schemas.microsoft.com/office/drawing/2014/main" id="{00000000-0008-0000-0800-000035000000}"/>
            </a:ext>
          </a:extLst>
        </xdr:cNvPr>
        <xdr:cNvSpPr>
          <a:spLocks noChangeShapeType="1"/>
        </xdr:cNvSpPr>
      </xdr:nvSpPr>
      <xdr:spPr bwMode="auto">
        <a:xfrm>
          <a:off x="6616700" y="0"/>
          <a:ext cx="0" cy="0"/>
        </a:xfrm>
        <a:prstGeom prst="line">
          <a:avLst/>
        </a:prstGeom>
        <a:noFill/>
        <a:ln w="9525">
          <a:solidFill>
            <a:srgbClr val="000000"/>
          </a:solidFill>
          <a:round/>
          <a:headEnd/>
          <a:tailEnd/>
        </a:ln>
      </xdr:spPr>
    </xdr:sp>
    <xdr:clientData/>
  </xdr:twoCellAnchor>
  <xdr:twoCellAnchor>
    <xdr:from>
      <xdr:col>10</xdr:col>
      <xdr:colOff>28575</xdr:colOff>
      <xdr:row>0</xdr:row>
      <xdr:rowOff>0</xdr:rowOff>
    </xdr:from>
    <xdr:to>
      <xdr:col>12</xdr:col>
      <xdr:colOff>0</xdr:colOff>
      <xdr:row>0</xdr:row>
      <xdr:rowOff>0</xdr:rowOff>
    </xdr:to>
    <xdr:sp macro="" textlink="">
      <xdr:nvSpPr>
        <xdr:cNvPr id="54" name="Line 54">
          <a:extLst>
            <a:ext uri="{FF2B5EF4-FFF2-40B4-BE49-F238E27FC236}">
              <a16:creationId xmlns:a16="http://schemas.microsoft.com/office/drawing/2014/main" id="{00000000-0008-0000-0800-000036000000}"/>
            </a:ext>
          </a:extLst>
        </xdr:cNvPr>
        <xdr:cNvSpPr>
          <a:spLocks noChangeShapeType="1"/>
        </xdr:cNvSpPr>
      </xdr:nvSpPr>
      <xdr:spPr bwMode="auto">
        <a:xfrm>
          <a:off x="5172075" y="0"/>
          <a:ext cx="1444625" cy="0"/>
        </a:xfrm>
        <a:prstGeom prst="line">
          <a:avLst/>
        </a:prstGeom>
        <a:noFill/>
        <a:ln w="9525">
          <a:solidFill>
            <a:srgbClr val="000000"/>
          </a:solidFill>
          <a:round/>
          <a:headEnd/>
          <a:tailEnd/>
        </a:ln>
      </xdr:spPr>
    </xdr:sp>
    <xdr:clientData/>
  </xdr:twoCellAnchor>
  <xdr:twoCellAnchor>
    <xdr:from>
      <xdr:col>11</xdr:col>
      <xdr:colOff>0</xdr:colOff>
      <xdr:row>0</xdr:row>
      <xdr:rowOff>0</xdr:rowOff>
    </xdr:from>
    <xdr:to>
      <xdr:col>11</xdr:col>
      <xdr:colOff>0</xdr:colOff>
      <xdr:row>0</xdr:row>
      <xdr:rowOff>0</xdr:rowOff>
    </xdr:to>
    <xdr:sp macro="" textlink="">
      <xdr:nvSpPr>
        <xdr:cNvPr id="55" name="Line 55">
          <a:extLst>
            <a:ext uri="{FF2B5EF4-FFF2-40B4-BE49-F238E27FC236}">
              <a16:creationId xmlns:a16="http://schemas.microsoft.com/office/drawing/2014/main" id="{00000000-0008-0000-0800-000037000000}"/>
            </a:ext>
          </a:extLst>
        </xdr:cNvPr>
        <xdr:cNvSpPr>
          <a:spLocks noChangeShapeType="1"/>
        </xdr:cNvSpPr>
      </xdr:nvSpPr>
      <xdr:spPr bwMode="auto">
        <a:xfrm>
          <a:off x="5759450" y="0"/>
          <a:ext cx="0" cy="0"/>
        </a:xfrm>
        <a:prstGeom prst="line">
          <a:avLst/>
        </a:prstGeom>
        <a:noFill/>
        <a:ln w="9525">
          <a:solidFill>
            <a:srgbClr val="000000"/>
          </a:solidFill>
          <a:round/>
          <a:headEnd/>
          <a:tailEnd/>
        </a:ln>
      </xdr:spPr>
    </xdr:sp>
    <xdr:clientData/>
  </xdr:twoCellAnchor>
  <xdr:twoCellAnchor>
    <xdr:from>
      <xdr:col>14</xdr:col>
      <xdr:colOff>0</xdr:colOff>
      <xdr:row>0</xdr:row>
      <xdr:rowOff>0</xdr:rowOff>
    </xdr:from>
    <xdr:to>
      <xdr:col>14</xdr:col>
      <xdr:colOff>0</xdr:colOff>
      <xdr:row>0</xdr:row>
      <xdr:rowOff>0</xdr:rowOff>
    </xdr:to>
    <xdr:sp macro="" textlink="">
      <xdr:nvSpPr>
        <xdr:cNvPr id="56" name="Line 56">
          <a:extLst>
            <a:ext uri="{FF2B5EF4-FFF2-40B4-BE49-F238E27FC236}">
              <a16:creationId xmlns:a16="http://schemas.microsoft.com/office/drawing/2014/main" id="{00000000-0008-0000-0800-000038000000}"/>
            </a:ext>
          </a:extLst>
        </xdr:cNvPr>
        <xdr:cNvSpPr>
          <a:spLocks noChangeShapeType="1"/>
        </xdr:cNvSpPr>
      </xdr:nvSpPr>
      <xdr:spPr bwMode="auto">
        <a:xfrm>
          <a:off x="9023350" y="0"/>
          <a:ext cx="0" cy="0"/>
        </a:xfrm>
        <a:prstGeom prst="line">
          <a:avLst/>
        </a:prstGeom>
        <a:noFill/>
        <a:ln w="9525">
          <a:solidFill>
            <a:srgbClr val="000000"/>
          </a:solidFill>
          <a:round/>
          <a:headEnd/>
          <a:tailEnd/>
        </a:ln>
      </xdr:spPr>
    </xdr:sp>
    <xdr:clientData/>
  </xdr:twoCellAnchor>
  <xdr:twoCellAnchor>
    <xdr:from>
      <xdr:col>17</xdr:col>
      <xdr:colOff>0</xdr:colOff>
      <xdr:row>0</xdr:row>
      <xdr:rowOff>0</xdr:rowOff>
    </xdr:from>
    <xdr:to>
      <xdr:col>17</xdr:col>
      <xdr:colOff>0</xdr:colOff>
      <xdr:row>0</xdr:row>
      <xdr:rowOff>0</xdr:rowOff>
    </xdr:to>
    <xdr:sp macro="" textlink="">
      <xdr:nvSpPr>
        <xdr:cNvPr id="57" name="Line 57">
          <a:extLst>
            <a:ext uri="{FF2B5EF4-FFF2-40B4-BE49-F238E27FC236}">
              <a16:creationId xmlns:a16="http://schemas.microsoft.com/office/drawing/2014/main" id="{00000000-0008-0000-0800-000039000000}"/>
            </a:ext>
          </a:extLst>
        </xdr:cNvPr>
        <xdr:cNvSpPr>
          <a:spLocks noChangeShapeType="1"/>
        </xdr:cNvSpPr>
      </xdr:nvSpPr>
      <xdr:spPr bwMode="auto">
        <a:xfrm>
          <a:off x="110363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58" name="Line 58">
          <a:extLst>
            <a:ext uri="{FF2B5EF4-FFF2-40B4-BE49-F238E27FC236}">
              <a16:creationId xmlns:a16="http://schemas.microsoft.com/office/drawing/2014/main" id="{00000000-0008-0000-0800-00003A000000}"/>
            </a:ext>
          </a:extLst>
        </xdr:cNvPr>
        <xdr:cNvSpPr>
          <a:spLocks noChangeShapeType="1"/>
        </xdr:cNvSpPr>
      </xdr:nvSpPr>
      <xdr:spPr bwMode="auto">
        <a:xfrm>
          <a:off x="1156970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59" name="Line 59">
          <a:extLst>
            <a:ext uri="{FF2B5EF4-FFF2-40B4-BE49-F238E27FC236}">
              <a16:creationId xmlns:a16="http://schemas.microsoft.com/office/drawing/2014/main" id="{00000000-0008-0000-0800-00003B000000}"/>
            </a:ext>
          </a:extLst>
        </xdr:cNvPr>
        <xdr:cNvSpPr>
          <a:spLocks noChangeShapeType="1"/>
        </xdr:cNvSpPr>
      </xdr:nvSpPr>
      <xdr:spPr bwMode="auto">
        <a:xfrm>
          <a:off x="11817350" y="0"/>
          <a:ext cx="0" cy="0"/>
        </a:xfrm>
        <a:prstGeom prst="line">
          <a:avLst/>
        </a:prstGeom>
        <a:noFill/>
        <a:ln w="9525">
          <a:solidFill>
            <a:srgbClr val="000000"/>
          </a:solidFill>
          <a:round/>
          <a:headEnd/>
          <a:tailEnd/>
        </a:ln>
      </xdr:spPr>
    </xdr:sp>
    <xdr:clientData/>
  </xdr:twoCellAnchor>
  <xdr:twoCellAnchor>
    <xdr:from>
      <xdr:col>9</xdr:col>
      <xdr:colOff>0</xdr:colOff>
      <xdr:row>0</xdr:row>
      <xdr:rowOff>0</xdr:rowOff>
    </xdr:from>
    <xdr:to>
      <xdr:col>9</xdr:col>
      <xdr:colOff>0</xdr:colOff>
      <xdr:row>0</xdr:row>
      <xdr:rowOff>0</xdr:rowOff>
    </xdr:to>
    <xdr:sp macro="" textlink="">
      <xdr:nvSpPr>
        <xdr:cNvPr id="60" name="Line 60">
          <a:extLst>
            <a:ext uri="{FF2B5EF4-FFF2-40B4-BE49-F238E27FC236}">
              <a16:creationId xmlns:a16="http://schemas.microsoft.com/office/drawing/2014/main" id="{00000000-0008-0000-0800-00003C000000}"/>
            </a:ext>
          </a:extLst>
        </xdr:cNvPr>
        <xdr:cNvSpPr>
          <a:spLocks noChangeShapeType="1"/>
        </xdr:cNvSpPr>
      </xdr:nvSpPr>
      <xdr:spPr bwMode="auto">
        <a:xfrm>
          <a:off x="34480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1" name="Line 61">
          <a:extLst>
            <a:ext uri="{FF2B5EF4-FFF2-40B4-BE49-F238E27FC236}">
              <a16:creationId xmlns:a16="http://schemas.microsoft.com/office/drawing/2014/main" id="{00000000-0008-0000-0800-00003D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238125</xdr:colOff>
      <xdr:row>0</xdr:row>
      <xdr:rowOff>0</xdr:rowOff>
    </xdr:from>
    <xdr:to>
      <xdr:col>16</xdr:col>
      <xdr:colOff>238125</xdr:colOff>
      <xdr:row>0</xdr:row>
      <xdr:rowOff>0</xdr:rowOff>
    </xdr:to>
    <xdr:sp macro="" textlink="">
      <xdr:nvSpPr>
        <xdr:cNvPr id="62" name="Line 62">
          <a:extLst>
            <a:ext uri="{FF2B5EF4-FFF2-40B4-BE49-F238E27FC236}">
              <a16:creationId xmlns:a16="http://schemas.microsoft.com/office/drawing/2014/main" id="{00000000-0008-0000-0800-00003E000000}"/>
            </a:ext>
          </a:extLst>
        </xdr:cNvPr>
        <xdr:cNvSpPr>
          <a:spLocks noChangeShapeType="1"/>
        </xdr:cNvSpPr>
      </xdr:nvSpPr>
      <xdr:spPr bwMode="auto">
        <a:xfrm>
          <a:off x="11007725" y="0"/>
          <a:ext cx="0" cy="0"/>
        </a:xfrm>
        <a:prstGeom prst="line">
          <a:avLst/>
        </a:prstGeom>
        <a:noFill/>
        <a:ln w="9525">
          <a:solidFill>
            <a:srgbClr val="000000"/>
          </a:solidFill>
          <a:round/>
          <a:headEnd/>
          <a:tailEnd/>
        </a:ln>
      </xdr:spPr>
    </xdr:sp>
    <xdr:clientData/>
  </xdr:twoCellAnchor>
  <xdr:twoCellAnchor>
    <xdr:from>
      <xdr:col>23</xdr:col>
      <xdr:colOff>0</xdr:colOff>
      <xdr:row>0</xdr:row>
      <xdr:rowOff>0</xdr:rowOff>
    </xdr:from>
    <xdr:to>
      <xdr:col>23</xdr:col>
      <xdr:colOff>0</xdr:colOff>
      <xdr:row>0</xdr:row>
      <xdr:rowOff>0</xdr:rowOff>
    </xdr:to>
    <xdr:sp macro="" textlink="">
      <xdr:nvSpPr>
        <xdr:cNvPr id="63" name="Line 63">
          <a:extLst>
            <a:ext uri="{FF2B5EF4-FFF2-40B4-BE49-F238E27FC236}">
              <a16:creationId xmlns:a16="http://schemas.microsoft.com/office/drawing/2014/main" id="{00000000-0008-0000-0800-00003F000000}"/>
            </a:ext>
          </a:extLst>
        </xdr:cNvPr>
        <xdr:cNvSpPr>
          <a:spLocks noChangeShapeType="1"/>
        </xdr:cNvSpPr>
      </xdr:nvSpPr>
      <xdr:spPr bwMode="auto">
        <a:xfrm>
          <a:off x="12738100" y="0"/>
          <a:ext cx="0" cy="0"/>
        </a:xfrm>
        <a:prstGeom prst="line">
          <a:avLst/>
        </a:prstGeom>
        <a:noFill/>
        <a:ln w="9525">
          <a:solidFill>
            <a:srgbClr val="000000"/>
          </a:solidFill>
          <a:round/>
          <a:headEnd/>
          <a:tailEnd/>
        </a:ln>
      </xdr:spPr>
    </xdr:sp>
    <xdr:clientData/>
  </xdr:twoCellAnchor>
  <xdr:twoCellAnchor>
    <xdr:from>
      <xdr:col>19</xdr:col>
      <xdr:colOff>0</xdr:colOff>
      <xdr:row>0</xdr:row>
      <xdr:rowOff>0</xdr:rowOff>
    </xdr:from>
    <xdr:to>
      <xdr:col>19</xdr:col>
      <xdr:colOff>0</xdr:colOff>
      <xdr:row>0</xdr:row>
      <xdr:rowOff>0</xdr:rowOff>
    </xdr:to>
    <xdr:sp macro="" textlink="">
      <xdr:nvSpPr>
        <xdr:cNvPr id="64" name="Line 64">
          <a:extLst>
            <a:ext uri="{FF2B5EF4-FFF2-40B4-BE49-F238E27FC236}">
              <a16:creationId xmlns:a16="http://schemas.microsoft.com/office/drawing/2014/main" id="{00000000-0008-0000-0800-000040000000}"/>
            </a:ext>
          </a:extLst>
        </xdr:cNvPr>
        <xdr:cNvSpPr>
          <a:spLocks noChangeShapeType="1"/>
        </xdr:cNvSpPr>
      </xdr:nvSpPr>
      <xdr:spPr bwMode="auto">
        <a:xfrm>
          <a:off x="11569700" y="0"/>
          <a:ext cx="0" cy="0"/>
        </a:xfrm>
        <a:prstGeom prst="line">
          <a:avLst/>
        </a:prstGeom>
        <a:noFill/>
        <a:ln w="9525">
          <a:solidFill>
            <a:srgbClr val="000000"/>
          </a:solidFill>
          <a:round/>
          <a:headEnd/>
          <a:tailEnd/>
        </a:ln>
      </xdr:spPr>
    </xdr:sp>
    <xdr:clientData/>
  </xdr:twoCellAnchor>
  <xdr:twoCellAnchor>
    <xdr:from>
      <xdr:col>20</xdr:col>
      <xdr:colOff>0</xdr:colOff>
      <xdr:row>0</xdr:row>
      <xdr:rowOff>0</xdr:rowOff>
    </xdr:from>
    <xdr:to>
      <xdr:col>20</xdr:col>
      <xdr:colOff>0</xdr:colOff>
      <xdr:row>0</xdr:row>
      <xdr:rowOff>0</xdr:rowOff>
    </xdr:to>
    <xdr:sp macro="" textlink="">
      <xdr:nvSpPr>
        <xdr:cNvPr id="65" name="Line 65">
          <a:extLst>
            <a:ext uri="{FF2B5EF4-FFF2-40B4-BE49-F238E27FC236}">
              <a16:creationId xmlns:a16="http://schemas.microsoft.com/office/drawing/2014/main" id="{00000000-0008-0000-0800-000041000000}"/>
            </a:ext>
          </a:extLst>
        </xdr:cNvPr>
        <xdr:cNvSpPr>
          <a:spLocks noChangeShapeType="1"/>
        </xdr:cNvSpPr>
      </xdr:nvSpPr>
      <xdr:spPr bwMode="auto">
        <a:xfrm>
          <a:off x="11817350" y="0"/>
          <a:ext cx="0" cy="0"/>
        </a:xfrm>
        <a:prstGeom prst="line">
          <a:avLst/>
        </a:prstGeom>
        <a:noFill/>
        <a:ln w="9525">
          <a:solidFill>
            <a:srgbClr val="000000"/>
          </a:solidFill>
          <a:round/>
          <a:headEnd/>
          <a:tailEnd/>
        </a:ln>
      </xdr:spPr>
    </xdr:sp>
    <xdr:clientData/>
  </xdr:twoCellAnchor>
  <xdr:twoCellAnchor>
    <xdr:from>
      <xdr:col>21</xdr:col>
      <xdr:colOff>0</xdr:colOff>
      <xdr:row>0</xdr:row>
      <xdr:rowOff>0</xdr:rowOff>
    </xdr:from>
    <xdr:to>
      <xdr:col>21</xdr:col>
      <xdr:colOff>0</xdr:colOff>
      <xdr:row>0</xdr:row>
      <xdr:rowOff>0</xdr:rowOff>
    </xdr:to>
    <xdr:sp macro="" textlink="">
      <xdr:nvSpPr>
        <xdr:cNvPr id="66" name="Line 66">
          <a:extLst>
            <a:ext uri="{FF2B5EF4-FFF2-40B4-BE49-F238E27FC236}">
              <a16:creationId xmlns:a16="http://schemas.microsoft.com/office/drawing/2014/main" id="{00000000-0008-0000-0800-000042000000}"/>
            </a:ext>
          </a:extLst>
        </xdr:cNvPr>
        <xdr:cNvSpPr>
          <a:spLocks noChangeShapeType="1"/>
        </xdr:cNvSpPr>
      </xdr:nvSpPr>
      <xdr:spPr bwMode="auto">
        <a:xfrm>
          <a:off x="1213485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7" name="Line 67">
          <a:extLst>
            <a:ext uri="{FF2B5EF4-FFF2-40B4-BE49-F238E27FC236}">
              <a16:creationId xmlns:a16="http://schemas.microsoft.com/office/drawing/2014/main" id="{00000000-0008-0000-0800-000043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16</xdr:col>
      <xdr:colOff>0</xdr:colOff>
      <xdr:row>0</xdr:row>
      <xdr:rowOff>0</xdr:rowOff>
    </xdr:from>
    <xdr:to>
      <xdr:col>16</xdr:col>
      <xdr:colOff>0</xdr:colOff>
      <xdr:row>0</xdr:row>
      <xdr:rowOff>0</xdr:rowOff>
    </xdr:to>
    <xdr:sp macro="" textlink="">
      <xdr:nvSpPr>
        <xdr:cNvPr id="68" name="Line 68">
          <a:extLst>
            <a:ext uri="{FF2B5EF4-FFF2-40B4-BE49-F238E27FC236}">
              <a16:creationId xmlns:a16="http://schemas.microsoft.com/office/drawing/2014/main" id="{00000000-0008-0000-0800-000044000000}"/>
            </a:ext>
          </a:extLst>
        </xdr:cNvPr>
        <xdr:cNvSpPr>
          <a:spLocks noChangeShapeType="1"/>
        </xdr:cNvSpPr>
      </xdr:nvSpPr>
      <xdr:spPr bwMode="auto">
        <a:xfrm>
          <a:off x="10769600" y="0"/>
          <a:ext cx="0" cy="0"/>
        </a:xfrm>
        <a:prstGeom prst="line">
          <a:avLst/>
        </a:prstGeom>
        <a:noFill/>
        <a:ln w="9525">
          <a:solidFill>
            <a:srgbClr val="000000"/>
          </a:solidFill>
          <a:round/>
          <a:headEnd/>
          <a:tailEnd/>
        </a:ln>
      </xdr:spPr>
    </xdr:sp>
    <xdr:clientData/>
  </xdr:twoCellAnchor>
  <xdr:twoCellAnchor>
    <xdr:from>
      <xdr:col>0</xdr:col>
      <xdr:colOff>104775</xdr:colOff>
      <xdr:row>2</xdr:row>
      <xdr:rowOff>180975</xdr:rowOff>
    </xdr:from>
    <xdr:to>
      <xdr:col>1</xdr:col>
      <xdr:colOff>19050</xdr:colOff>
      <xdr:row>3</xdr:row>
      <xdr:rowOff>0</xdr:rowOff>
    </xdr:to>
    <xdr:sp macro="" textlink="">
      <xdr:nvSpPr>
        <xdr:cNvPr id="69" name="Line 69">
          <a:extLst>
            <a:ext uri="{FF2B5EF4-FFF2-40B4-BE49-F238E27FC236}">
              <a16:creationId xmlns:a16="http://schemas.microsoft.com/office/drawing/2014/main" id="{00000000-0008-0000-0800-000045000000}"/>
            </a:ext>
          </a:extLst>
        </xdr:cNvPr>
        <xdr:cNvSpPr>
          <a:spLocks noChangeShapeType="1"/>
        </xdr:cNvSpPr>
      </xdr:nvSpPr>
      <xdr:spPr bwMode="auto">
        <a:xfrm flipV="1">
          <a:off x="104775" y="955675"/>
          <a:ext cx="41275" cy="104775"/>
        </a:xfrm>
        <a:prstGeom prst="line">
          <a:avLst/>
        </a:prstGeom>
        <a:noFill/>
        <a:ln w="9525">
          <a:solidFill>
            <a:srgbClr val="000000"/>
          </a:solidFill>
          <a:round/>
          <a:headEnd/>
          <a:tailEnd/>
        </a:ln>
      </xdr:spPr>
    </xdr:sp>
    <xdr:clientData/>
  </xdr:twoCellAnchor>
  <xdr:twoCellAnchor>
    <xdr:from>
      <xdr:col>1</xdr:col>
      <xdr:colOff>9525</xdr:colOff>
      <xdr:row>6</xdr:row>
      <xdr:rowOff>0</xdr:rowOff>
    </xdr:from>
    <xdr:to>
      <xdr:col>6</xdr:col>
      <xdr:colOff>0</xdr:colOff>
      <xdr:row>6</xdr:row>
      <xdr:rowOff>0</xdr:rowOff>
    </xdr:to>
    <xdr:sp macro="" textlink="">
      <xdr:nvSpPr>
        <xdr:cNvPr id="70" name="Line 70">
          <a:extLst>
            <a:ext uri="{FF2B5EF4-FFF2-40B4-BE49-F238E27FC236}">
              <a16:creationId xmlns:a16="http://schemas.microsoft.com/office/drawing/2014/main" id="{00000000-0008-0000-0800-000046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1" name="Line 71">
          <a:extLst>
            <a:ext uri="{FF2B5EF4-FFF2-40B4-BE49-F238E27FC236}">
              <a16:creationId xmlns:a16="http://schemas.microsoft.com/office/drawing/2014/main" id="{00000000-0008-0000-0800-000047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1</xdr:col>
      <xdr:colOff>9525</xdr:colOff>
      <xdr:row>6</xdr:row>
      <xdr:rowOff>0</xdr:rowOff>
    </xdr:to>
    <xdr:sp macro="" textlink="">
      <xdr:nvSpPr>
        <xdr:cNvPr id="72" name="Line 72">
          <a:extLst>
            <a:ext uri="{FF2B5EF4-FFF2-40B4-BE49-F238E27FC236}">
              <a16:creationId xmlns:a16="http://schemas.microsoft.com/office/drawing/2014/main" id="{00000000-0008-0000-0800-000048000000}"/>
            </a:ext>
          </a:extLst>
        </xdr:cNvPr>
        <xdr:cNvSpPr>
          <a:spLocks noChangeShapeType="1"/>
        </xdr:cNvSpPr>
      </xdr:nvSpPr>
      <xdr:spPr bwMode="auto">
        <a:xfrm flipH="1">
          <a:off x="9525" y="2476500"/>
          <a:ext cx="127000" cy="0"/>
        </a:xfrm>
        <a:prstGeom prst="line">
          <a:avLst/>
        </a:prstGeom>
        <a:noFill/>
        <a:ln w="9525">
          <a:solidFill>
            <a:srgbClr val="000000"/>
          </a:solidFill>
          <a:round/>
          <a:headEnd/>
          <a:tailEnd/>
        </a:ln>
      </xdr:spPr>
    </xdr:sp>
    <xdr:clientData/>
  </xdr:twoCellAnchor>
  <xdr:twoCellAnchor>
    <xdr:from>
      <xdr:col>0</xdr:col>
      <xdr:colOff>9525</xdr:colOff>
      <xdr:row>6</xdr:row>
      <xdr:rowOff>0</xdr:rowOff>
    </xdr:from>
    <xdr:to>
      <xdr:col>6</xdr:col>
      <xdr:colOff>0</xdr:colOff>
      <xdr:row>6</xdr:row>
      <xdr:rowOff>0</xdr:rowOff>
    </xdr:to>
    <xdr:sp macro="" textlink="">
      <xdr:nvSpPr>
        <xdr:cNvPr id="74" name="Line 74">
          <a:extLst>
            <a:ext uri="{FF2B5EF4-FFF2-40B4-BE49-F238E27FC236}">
              <a16:creationId xmlns:a16="http://schemas.microsoft.com/office/drawing/2014/main" id="{00000000-0008-0000-0800-00004A000000}"/>
            </a:ext>
          </a:extLst>
        </xdr:cNvPr>
        <xdr:cNvSpPr>
          <a:spLocks noChangeShapeType="1"/>
        </xdr:cNvSpPr>
      </xdr:nvSpPr>
      <xdr:spPr bwMode="auto">
        <a:xfrm>
          <a:off x="9525" y="2476500"/>
          <a:ext cx="1171575" cy="0"/>
        </a:xfrm>
        <a:prstGeom prst="line">
          <a:avLst/>
        </a:prstGeom>
        <a:noFill/>
        <a:ln w="9525">
          <a:solidFill>
            <a:srgbClr val="000000"/>
          </a:solidFill>
          <a:round/>
          <a:headEnd/>
          <a:tailEnd/>
        </a:ln>
      </xdr:spPr>
    </xdr:sp>
    <xdr:clientData/>
  </xdr:twoCellAnchor>
  <mc:AlternateContent xmlns:mc="http://schemas.openxmlformats.org/markup-compatibility/2006">
    <mc:Choice xmlns:a14="http://schemas.microsoft.com/office/drawing/2010/main" Requires="a14">
      <xdr:twoCellAnchor>
        <xdr:from>
          <xdr:col>0</xdr:col>
          <xdr:colOff>0</xdr:colOff>
          <xdr:row>31</xdr:row>
          <xdr:rowOff>57150</xdr:rowOff>
        </xdr:from>
        <xdr:to>
          <xdr:col>0</xdr:col>
          <xdr:colOff>0</xdr:colOff>
          <xdr:row>36</xdr:row>
          <xdr:rowOff>104775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Button 77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209550</xdr:rowOff>
        </xdr:from>
        <xdr:to>
          <xdr:col>8</xdr:col>
          <xdr:colOff>1619250</xdr:colOff>
          <xdr:row>0</xdr:row>
          <xdr:rowOff>342900</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Commissioning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361950</xdr:rowOff>
        </xdr:from>
        <xdr:to>
          <xdr:col>8</xdr:col>
          <xdr:colOff>1409700</xdr:colOff>
          <xdr:row>1</xdr:row>
          <xdr:rowOff>19050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8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Normal Operating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180975</xdr:rowOff>
        </xdr:from>
        <xdr:to>
          <xdr:col>9</xdr:col>
          <xdr:colOff>1200150</xdr:colOff>
          <xdr:row>0</xdr:row>
          <xdr:rowOff>361950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8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Initial Spares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361950</xdr:rowOff>
        </xdr:from>
        <xdr:to>
          <xdr:col>9</xdr:col>
          <xdr:colOff>1428750</xdr:colOff>
          <xdr:row>1</xdr:row>
          <xdr:rowOff>19050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8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Life Cycle Spares</a:t>
              </a:r>
            </a:p>
          </xdr:txBody>
        </xdr:sp>
        <xdr:clientData fLocksWithSheet="0"/>
      </xdr:twoCellAnchor>
    </mc:Choice>
    <mc:Fallback/>
  </mc:AlternateContent>
  <xdr:twoCellAnchor>
    <xdr:from>
      <xdr:col>1</xdr:col>
      <xdr:colOff>9525</xdr:colOff>
      <xdr:row>6</xdr:row>
      <xdr:rowOff>0</xdr:rowOff>
    </xdr:from>
    <xdr:to>
      <xdr:col>6</xdr:col>
      <xdr:colOff>0</xdr:colOff>
      <xdr:row>6</xdr:row>
      <xdr:rowOff>0</xdr:rowOff>
    </xdr:to>
    <xdr:sp macro="" textlink="">
      <xdr:nvSpPr>
        <xdr:cNvPr id="77" name="Line 70">
          <a:extLst>
            <a:ext uri="{FF2B5EF4-FFF2-40B4-BE49-F238E27FC236}">
              <a16:creationId xmlns:a16="http://schemas.microsoft.com/office/drawing/2014/main" id="{00000000-0008-0000-0800-00004D000000}"/>
            </a:ext>
          </a:extLst>
        </xdr:cNvPr>
        <xdr:cNvSpPr>
          <a:spLocks noChangeShapeType="1"/>
        </xdr:cNvSpPr>
      </xdr:nvSpPr>
      <xdr:spPr bwMode="auto">
        <a:xfrm>
          <a:off x="136525" y="2476500"/>
          <a:ext cx="1044575" cy="0"/>
        </a:xfrm>
        <a:prstGeom prst="line">
          <a:avLst/>
        </a:prstGeom>
        <a:noFill/>
        <a:ln w="9525">
          <a:solidFill>
            <a:srgbClr val="000000"/>
          </a:solidFill>
          <a:round/>
          <a:headEnd/>
          <a:tailEnd/>
        </a:ln>
      </xdr:spPr>
    </xdr:sp>
    <xdr:clientData/>
  </xdr:twoCellAnchor>
  <xdr:twoCellAnchor>
    <xdr:from>
      <xdr:col>1</xdr:col>
      <xdr:colOff>0</xdr:colOff>
      <xdr:row>6</xdr:row>
      <xdr:rowOff>0</xdr:rowOff>
    </xdr:from>
    <xdr:to>
      <xdr:col>6</xdr:col>
      <xdr:colOff>0</xdr:colOff>
      <xdr:row>6</xdr:row>
      <xdr:rowOff>0</xdr:rowOff>
    </xdr:to>
    <xdr:sp macro="" textlink="">
      <xdr:nvSpPr>
        <xdr:cNvPr id="78" name="Line 71">
          <a:extLst>
            <a:ext uri="{FF2B5EF4-FFF2-40B4-BE49-F238E27FC236}">
              <a16:creationId xmlns:a16="http://schemas.microsoft.com/office/drawing/2014/main" id="{00000000-0008-0000-0800-00004E000000}"/>
            </a:ext>
          </a:extLst>
        </xdr:cNvPr>
        <xdr:cNvSpPr>
          <a:spLocks noChangeShapeType="1"/>
        </xdr:cNvSpPr>
      </xdr:nvSpPr>
      <xdr:spPr bwMode="auto">
        <a:xfrm>
          <a:off x="127000" y="2476500"/>
          <a:ext cx="1054100" cy="0"/>
        </a:xfrm>
        <a:prstGeom prst="line">
          <a:avLst/>
        </a:prstGeom>
        <a:no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4.vml"/><Relationship Id="rId7" Type="http://schemas.openxmlformats.org/officeDocument/2006/relationships/ctrlProp" Target="../ctrlProps/ctrlProp1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5.vml"/><Relationship Id="rId7" Type="http://schemas.openxmlformats.org/officeDocument/2006/relationships/ctrlProp" Target="../ctrlProps/ctrlProp2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6.vml"/><Relationship Id="rId7" Type="http://schemas.openxmlformats.org/officeDocument/2006/relationships/ctrlProp" Target="../ctrlProps/ctrlProp2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comments" Target="../comments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 Id="rId9" Type="http://schemas.openxmlformats.org/officeDocument/2006/relationships/comments" Target="../comments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8.vml"/><Relationship Id="rId7" Type="http://schemas.openxmlformats.org/officeDocument/2006/relationships/ctrlProp" Target="../ctrlProps/ctrlProp39.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 Id="rId9" Type="http://schemas.openxmlformats.org/officeDocument/2006/relationships/comments" Target="../comments8.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9.vml"/><Relationship Id="rId7" Type="http://schemas.openxmlformats.org/officeDocument/2006/relationships/ctrlProp" Target="../ctrlProps/ctrlProp44.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 Id="rId9"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B37"/>
  <sheetViews>
    <sheetView showGridLines="0" view="pageBreakPreview" topLeftCell="A21" zoomScale="130" zoomScaleNormal="55" zoomScaleSheetLayoutView="130" workbookViewId="0">
      <selection activeCell="C1" sqref="C1:C3"/>
    </sheetView>
  </sheetViews>
  <sheetFormatPr defaultRowHeight="12.75"/>
  <cols>
    <col min="1" max="1" width="1.7109375" customWidth="1"/>
    <col min="2" max="2" width="3.7109375" customWidth="1"/>
    <col min="3" max="7" width="2.7109375" customWidth="1"/>
    <col min="8" max="8" width="3.7109375" customWidth="1"/>
    <col min="9" max="9" width="20.7109375" customWidth="1"/>
    <col min="10" max="10" width="18.42578125" customWidth="1"/>
    <col min="11" max="11" width="8.7109375" customWidth="1"/>
    <col min="12" max="12" width="9.28515625" customWidth="1"/>
    <col min="13" max="13" width="8.7109375" customWidth="1"/>
    <col min="14" max="14" width="25.7109375" customWidth="1"/>
    <col min="15" max="15" width="17.28515625" customWidth="1"/>
    <col min="16" max="16" width="28.28515625" customWidth="1"/>
    <col min="17" max="19" width="3.7109375" customWidth="1"/>
    <col min="20" max="20" width="3.5703125" customWidth="1"/>
    <col min="21" max="21" width="4.5703125" customWidth="1"/>
    <col min="22" max="22" width="5.28515625" bestFit="1" customWidth="1"/>
    <col min="23" max="23" width="3.7109375" customWidth="1"/>
    <col min="24" max="24" width="4.7109375" customWidth="1"/>
    <col min="25" max="25" width="17.42578125" customWidth="1"/>
    <col min="26" max="26" width="12.7109375" customWidth="1"/>
    <col min="27" max="27" width="5.7109375" customWidth="1"/>
    <col min="28" max="28" width="10" customWidth="1"/>
  </cols>
  <sheetData>
    <row r="1" spans="1:28" ht="45.75" customHeight="1" thickTop="1" thickBot="1">
      <c r="A1" s="1"/>
      <c r="B1" s="249" t="s">
        <v>493</v>
      </c>
      <c r="C1" s="252" t="s">
        <v>1397</v>
      </c>
      <c r="D1" s="252" t="s">
        <v>1398</v>
      </c>
      <c r="E1" s="252" t="s">
        <v>1399</v>
      </c>
      <c r="F1" s="252" t="s">
        <v>1400</v>
      </c>
      <c r="G1" s="260" t="s">
        <v>55</v>
      </c>
      <c r="H1" s="261"/>
      <c r="I1" s="261"/>
      <c r="J1" s="261"/>
      <c r="K1" s="261"/>
      <c r="L1" s="262"/>
      <c r="M1" s="156" t="s">
        <v>54</v>
      </c>
      <c r="N1" s="157"/>
      <c r="O1" s="158"/>
      <c r="P1" s="158"/>
      <c r="Q1" s="158"/>
      <c r="R1" s="158"/>
      <c r="S1" s="158"/>
      <c r="T1" s="159"/>
      <c r="U1" s="258" t="s">
        <v>53</v>
      </c>
      <c r="V1" s="259"/>
      <c r="W1" s="259"/>
      <c r="X1" s="259"/>
      <c r="Y1" s="263" t="s">
        <v>1227</v>
      </c>
      <c r="Z1" s="263"/>
      <c r="AA1" s="264"/>
    </row>
    <row r="2" spans="1:28" ht="15.6" customHeight="1" thickBot="1">
      <c r="A2" s="2">
        <v>1</v>
      </c>
      <c r="B2" s="250"/>
      <c r="C2" s="253"/>
      <c r="D2" s="253"/>
      <c r="E2" s="253"/>
      <c r="F2" s="253"/>
      <c r="G2" s="265" t="s">
        <v>734</v>
      </c>
      <c r="H2" s="266"/>
      <c r="I2" s="266"/>
      <c r="J2" s="266"/>
      <c r="K2" s="266"/>
      <c r="L2" s="267"/>
      <c r="M2" s="3" t="s">
        <v>0</v>
      </c>
      <c r="N2" s="117"/>
      <c r="O2" s="82" t="s">
        <v>47</v>
      </c>
      <c r="P2" s="82"/>
      <c r="Q2" s="4"/>
      <c r="R2" s="4"/>
      <c r="S2" s="4"/>
      <c r="T2" s="5"/>
      <c r="U2" s="256" t="s">
        <v>1</v>
      </c>
      <c r="V2" s="257"/>
      <c r="W2" s="257"/>
      <c r="X2" s="263" t="s">
        <v>1228</v>
      </c>
      <c r="Y2" s="263"/>
      <c r="Z2" s="263"/>
      <c r="AA2" s="264"/>
      <c r="AB2" s="62"/>
    </row>
    <row r="3" spans="1:28" ht="22.5" customHeight="1" thickBot="1">
      <c r="A3" s="6"/>
      <c r="B3" s="251"/>
      <c r="C3" s="253"/>
      <c r="D3" s="253"/>
      <c r="E3" s="253"/>
      <c r="F3" s="253"/>
      <c r="G3" s="268"/>
      <c r="H3" s="269"/>
      <c r="I3" s="269"/>
      <c r="J3" s="269"/>
      <c r="K3" s="269"/>
      <c r="L3" s="270"/>
      <c r="M3" s="7" t="s">
        <v>2</v>
      </c>
      <c r="N3" s="118"/>
      <c r="O3" s="118"/>
      <c r="P3" s="118"/>
      <c r="Q3" s="118"/>
      <c r="R3" s="118"/>
      <c r="S3" s="118"/>
      <c r="T3" s="119"/>
      <c r="U3" s="254" t="s">
        <v>3</v>
      </c>
      <c r="V3" s="255"/>
      <c r="W3" s="255"/>
      <c r="X3" s="255"/>
      <c r="Y3" s="263" t="s">
        <v>1217</v>
      </c>
      <c r="Z3" s="263"/>
      <c r="AA3" s="264"/>
      <c r="AB3" s="62" t="b">
        <v>1</v>
      </c>
    </row>
    <row r="4" spans="1:28" ht="41.65" customHeight="1" thickBot="1">
      <c r="A4" s="8"/>
      <c r="B4" s="249" t="s">
        <v>494</v>
      </c>
      <c r="C4" s="253" t="s">
        <v>1248</v>
      </c>
      <c r="D4" s="253" t="s">
        <v>1248</v>
      </c>
      <c r="E4" s="253" t="s">
        <v>1248</v>
      </c>
      <c r="F4" s="253" t="s">
        <v>1249</v>
      </c>
      <c r="G4" s="271"/>
      <c r="H4" s="272"/>
      <c r="I4" s="272"/>
      <c r="J4" s="272"/>
      <c r="K4" s="272"/>
      <c r="L4" s="273"/>
      <c r="M4" s="9" t="s">
        <v>4</v>
      </c>
      <c r="N4" s="120"/>
      <c r="O4" s="120"/>
      <c r="P4" s="120"/>
      <c r="Q4" s="120"/>
      <c r="R4" s="120"/>
      <c r="S4" s="120"/>
      <c r="T4" s="121"/>
      <c r="U4" s="143" t="s">
        <v>5</v>
      </c>
      <c r="V4" s="124"/>
      <c r="W4" s="263" t="s">
        <v>1217</v>
      </c>
      <c r="X4" s="263"/>
      <c r="Y4" s="263"/>
      <c r="Z4" s="263"/>
      <c r="AA4" s="264"/>
      <c r="AB4" s="62"/>
    </row>
    <row r="5" spans="1:28" ht="27" customHeight="1" thickBot="1">
      <c r="A5" s="10">
        <v>2</v>
      </c>
      <c r="B5" s="251"/>
      <c r="C5" s="253"/>
      <c r="D5" s="253"/>
      <c r="E5" s="253"/>
      <c r="F5" s="253"/>
      <c r="G5" s="11"/>
      <c r="H5" s="12" t="s">
        <v>6</v>
      </c>
      <c r="I5" s="13" t="s">
        <v>7</v>
      </c>
      <c r="J5" s="14"/>
      <c r="K5" s="14"/>
      <c r="L5" s="14"/>
      <c r="M5" s="14"/>
      <c r="N5" s="14"/>
      <c r="O5" s="15"/>
      <c r="P5" s="85"/>
      <c r="Q5" s="16" t="s">
        <v>8</v>
      </c>
      <c r="R5" s="17"/>
      <c r="S5" s="18" t="s">
        <v>9</v>
      </c>
      <c r="T5" s="19"/>
      <c r="U5" s="235" t="s">
        <v>50</v>
      </c>
      <c r="V5" s="236"/>
      <c r="W5" s="236"/>
      <c r="X5" s="236"/>
      <c r="Y5" s="236"/>
      <c r="Z5" s="236"/>
      <c r="AA5" s="237"/>
      <c r="AB5" s="62"/>
    </row>
    <row r="6" spans="1:28" ht="45" customHeight="1" thickBot="1">
      <c r="A6" s="20">
        <v>3</v>
      </c>
      <c r="B6" s="160" t="s">
        <v>10</v>
      </c>
      <c r="C6" s="135" t="s">
        <v>1250</v>
      </c>
      <c r="D6" s="135" t="s">
        <v>1251</v>
      </c>
      <c r="E6" s="135" t="s">
        <v>1252</v>
      </c>
      <c r="F6" s="135" t="s">
        <v>1253</v>
      </c>
      <c r="G6" s="21" t="s">
        <v>11</v>
      </c>
      <c r="H6" s="123" t="s">
        <v>12</v>
      </c>
      <c r="I6" s="45" t="s">
        <v>13</v>
      </c>
      <c r="J6" s="22" t="s">
        <v>14</v>
      </c>
      <c r="K6" s="76" t="s">
        <v>15</v>
      </c>
      <c r="L6" s="75" t="s">
        <v>16</v>
      </c>
      <c r="M6" s="77" t="s">
        <v>732</v>
      </c>
      <c r="N6" s="77" t="s">
        <v>733</v>
      </c>
      <c r="O6" s="75" t="s">
        <v>838</v>
      </c>
      <c r="P6" s="75" t="s">
        <v>839</v>
      </c>
      <c r="Q6" s="78" t="s">
        <v>17</v>
      </c>
      <c r="R6" s="79" t="s">
        <v>18</v>
      </c>
      <c r="S6" s="78" t="s">
        <v>17</v>
      </c>
      <c r="T6" s="79" t="s">
        <v>19</v>
      </c>
      <c r="U6" s="80" t="s">
        <v>841</v>
      </c>
      <c r="V6" s="80" t="s">
        <v>840</v>
      </c>
      <c r="W6" s="80" t="s">
        <v>20</v>
      </c>
      <c r="X6" s="81" t="s">
        <v>52</v>
      </c>
      <c r="Y6" s="80" t="s">
        <v>21</v>
      </c>
      <c r="Z6" s="23" t="s">
        <v>45</v>
      </c>
      <c r="AA6" s="161" t="s">
        <v>46</v>
      </c>
    </row>
    <row r="7" spans="1:28" ht="13.15" customHeight="1" thickBot="1">
      <c r="A7" s="20">
        <v>4</v>
      </c>
      <c r="B7" s="162" t="s">
        <v>22</v>
      </c>
      <c r="C7" s="137">
        <v>2</v>
      </c>
      <c r="D7" s="137">
        <v>2</v>
      </c>
      <c r="E7" s="137">
        <v>2</v>
      </c>
      <c r="F7" s="137">
        <v>2</v>
      </c>
      <c r="G7" s="24"/>
      <c r="H7" s="44">
        <v>7</v>
      </c>
      <c r="I7" s="44">
        <v>8</v>
      </c>
      <c r="J7" s="25">
        <v>9</v>
      </c>
      <c r="K7" s="44" t="s">
        <v>23</v>
      </c>
      <c r="L7" s="25" t="s">
        <v>24</v>
      </c>
      <c r="M7" s="44" t="s">
        <v>730</v>
      </c>
      <c r="N7" s="44" t="s">
        <v>731</v>
      </c>
      <c r="O7" s="44" t="s">
        <v>836</v>
      </c>
      <c r="P7" s="98" t="s">
        <v>837</v>
      </c>
      <c r="Q7" s="44">
        <v>13</v>
      </c>
      <c r="R7" s="26">
        <v>14</v>
      </c>
      <c r="S7" s="44">
        <v>15</v>
      </c>
      <c r="T7" s="26">
        <v>16</v>
      </c>
      <c r="U7" s="238">
        <v>17</v>
      </c>
      <c r="V7" s="239"/>
      <c r="W7" s="44">
        <v>18</v>
      </c>
      <c r="X7" s="26">
        <v>19</v>
      </c>
      <c r="Y7" s="44">
        <v>20</v>
      </c>
      <c r="Z7" s="26">
        <v>21</v>
      </c>
      <c r="AA7" s="163">
        <v>22</v>
      </c>
    </row>
    <row r="8" spans="1:28" ht="33.75" thickBot="1">
      <c r="A8" s="153"/>
      <c r="B8" s="164"/>
      <c r="C8" s="110">
        <v>1</v>
      </c>
      <c r="D8" s="110">
        <v>1</v>
      </c>
      <c r="E8" s="110">
        <v>1</v>
      </c>
      <c r="F8" s="110">
        <v>0</v>
      </c>
      <c r="G8" s="41">
        <v>1</v>
      </c>
      <c r="H8" s="110" cm="1">
        <f t="array" ref="H8">IFERROR(SUM($C$7:$F$7*C8:F8),"")</f>
        <v>6</v>
      </c>
      <c r="I8" s="51" t="s">
        <v>1254</v>
      </c>
      <c r="J8" s="52" t="s">
        <v>1296</v>
      </c>
      <c r="K8" s="52" t="s">
        <v>1261</v>
      </c>
      <c r="L8" s="52" t="s">
        <v>1262</v>
      </c>
      <c r="M8" s="52" t="s">
        <v>1263</v>
      </c>
      <c r="N8" s="52" t="s">
        <v>811</v>
      </c>
      <c r="O8" s="52" t="s">
        <v>1217</v>
      </c>
      <c r="P8" s="52"/>
      <c r="Q8" s="134">
        <v>2</v>
      </c>
      <c r="R8" s="113"/>
      <c r="S8" s="134">
        <v>0</v>
      </c>
      <c r="T8" s="113"/>
      <c r="U8" s="133" t="s">
        <v>1106</v>
      </c>
      <c r="V8" s="210">
        <v>13474.04498470842</v>
      </c>
      <c r="W8" s="134">
        <v>22</v>
      </c>
      <c r="X8" s="113"/>
      <c r="Y8" s="95" t="s">
        <v>894</v>
      </c>
      <c r="Z8" s="212">
        <v>80012204</v>
      </c>
      <c r="AA8" s="165" t="s">
        <v>932</v>
      </c>
    </row>
    <row r="9" spans="1:28" ht="33.75" thickBot="1">
      <c r="A9" s="154"/>
      <c r="B9" s="166"/>
      <c r="C9" s="110">
        <v>1</v>
      </c>
      <c r="D9" s="110">
        <v>1</v>
      </c>
      <c r="E9" s="110">
        <v>1</v>
      </c>
      <c r="F9" s="110">
        <v>0</v>
      </c>
      <c r="G9" s="41">
        <v>2</v>
      </c>
      <c r="H9" s="110" cm="1">
        <f t="array" ref="H9">IFERROR(SUM($C$7:$F$7*C9:F9),"")</f>
        <v>6</v>
      </c>
      <c r="I9" s="51" t="s">
        <v>1205</v>
      </c>
      <c r="J9" s="52" t="s">
        <v>1296</v>
      </c>
      <c r="K9" s="52" t="s">
        <v>1264</v>
      </c>
      <c r="L9" s="52" t="s">
        <v>1218</v>
      </c>
      <c r="M9" s="52" t="s">
        <v>1219</v>
      </c>
      <c r="N9" s="52" t="s">
        <v>811</v>
      </c>
      <c r="O9" s="52" t="s">
        <v>1217</v>
      </c>
      <c r="P9" s="52"/>
      <c r="Q9" s="134">
        <v>2</v>
      </c>
      <c r="R9" s="114"/>
      <c r="S9" s="134">
        <v>0</v>
      </c>
      <c r="T9" s="114"/>
      <c r="U9" s="133" t="s">
        <v>1106</v>
      </c>
      <c r="V9" s="210">
        <v>42341.719583165301</v>
      </c>
      <c r="W9" s="134">
        <v>22</v>
      </c>
      <c r="X9" s="114"/>
      <c r="Y9" s="95" t="s">
        <v>894</v>
      </c>
      <c r="Z9" s="212">
        <v>80012199</v>
      </c>
      <c r="AA9" s="165" t="s">
        <v>932</v>
      </c>
    </row>
    <row r="10" spans="1:28" ht="33.75" thickBot="1">
      <c r="A10" s="154"/>
      <c r="B10" s="167"/>
      <c r="C10" s="110">
        <v>0</v>
      </c>
      <c r="D10" s="110">
        <v>0</v>
      </c>
      <c r="E10" s="110">
        <v>0</v>
      </c>
      <c r="F10" s="110">
        <v>1</v>
      </c>
      <c r="G10" s="41">
        <v>3</v>
      </c>
      <c r="H10" s="110" cm="1">
        <f t="array" ref="H10">IFERROR(SUM($C$7:$F$7*C10:F10),"")</f>
        <v>2</v>
      </c>
      <c r="I10" s="51" t="s">
        <v>1205</v>
      </c>
      <c r="J10" s="52" t="s">
        <v>1260</v>
      </c>
      <c r="K10" s="52" t="s">
        <v>1265</v>
      </c>
      <c r="L10" s="52" t="s">
        <v>1218</v>
      </c>
      <c r="M10" s="52" t="s">
        <v>1219</v>
      </c>
      <c r="N10" s="52" t="s">
        <v>811</v>
      </c>
      <c r="O10" s="52" t="s">
        <v>1217</v>
      </c>
      <c r="P10" s="57"/>
      <c r="Q10" s="134">
        <v>1</v>
      </c>
      <c r="R10" s="114"/>
      <c r="S10" s="134">
        <v>0</v>
      </c>
      <c r="T10" s="114"/>
      <c r="U10" s="133" t="s">
        <v>1106</v>
      </c>
      <c r="V10" s="210">
        <v>42796.412636008805</v>
      </c>
      <c r="W10" s="134">
        <v>22</v>
      </c>
      <c r="X10" s="114"/>
      <c r="Y10" s="95" t="s">
        <v>894</v>
      </c>
      <c r="Z10" s="212">
        <v>80012202</v>
      </c>
      <c r="AA10" s="165" t="s">
        <v>932</v>
      </c>
    </row>
    <row r="11" spans="1:28" ht="33.75" thickBot="1">
      <c r="A11" s="154"/>
      <c r="B11" s="167"/>
      <c r="C11" s="110">
        <v>2</v>
      </c>
      <c r="D11" s="110">
        <v>2</v>
      </c>
      <c r="E11" s="110">
        <v>2</v>
      </c>
      <c r="F11" s="110">
        <v>2</v>
      </c>
      <c r="G11" s="41">
        <v>4</v>
      </c>
      <c r="H11" s="110" cm="1">
        <f t="array" ref="H11">IFERROR(SUM($C$7:$F$7*C11:F11),"")</f>
        <v>16</v>
      </c>
      <c r="I11" s="51" t="s">
        <v>1381</v>
      </c>
      <c r="J11" s="52" t="s">
        <v>1295</v>
      </c>
      <c r="K11" s="52" t="s">
        <v>1266</v>
      </c>
      <c r="L11" s="52" t="s">
        <v>1267</v>
      </c>
      <c r="M11" s="52" t="s">
        <v>1220</v>
      </c>
      <c r="N11" s="52" t="s">
        <v>811</v>
      </c>
      <c r="O11" s="52" t="s">
        <v>1217</v>
      </c>
      <c r="P11" s="57"/>
      <c r="Q11" s="134">
        <v>8</v>
      </c>
      <c r="R11" s="115"/>
      <c r="S11" s="134">
        <v>0</v>
      </c>
      <c r="T11" s="115"/>
      <c r="U11" s="133" t="s">
        <v>1106</v>
      </c>
      <c r="V11" s="210">
        <v>2511.0626288293192</v>
      </c>
      <c r="W11" s="134">
        <v>16</v>
      </c>
      <c r="X11" s="115"/>
      <c r="Y11" s="95" t="s">
        <v>894</v>
      </c>
      <c r="Z11" s="213">
        <v>10049151</v>
      </c>
      <c r="AA11" s="165" t="s">
        <v>932</v>
      </c>
    </row>
    <row r="12" spans="1:28" ht="33.75" thickBot="1">
      <c r="A12" s="154"/>
      <c r="B12" s="167"/>
      <c r="C12" s="110">
        <v>3</v>
      </c>
      <c r="D12" s="110">
        <v>3</v>
      </c>
      <c r="E12" s="110">
        <v>3</v>
      </c>
      <c r="F12" s="110">
        <v>0</v>
      </c>
      <c r="G12" s="56">
        <v>5</v>
      </c>
      <c r="H12" s="110" cm="1">
        <f t="array" ref="H12">IFERROR(SUM($C$7:$F$7*C12:F12),"")</f>
        <v>18</v>
      </c>
      <c r="I12" s="51" t="s">
        <v>1255</v>
      </c>
      <c r="J12" s="52" t="s">
        <v>1296</v>
      </c>
      <c r="K12" s="52" t="s">
        <v>1268</v>
      </c>
      <c r="L12" s="52" t="s">
        <v>1269</v>
      </c>
      <c r="M12" s="52" t="s">
        <v>1270</v>
      </c>
      <c r="N12" s="52" t="s">
        <v>811</v>
      </c>
      <c r="O12" s="52" t="s">
        <v>1217</v>
      </c>
      <c r="P12" s="57"/>
      <c r="Q12" s="134">
        <v>18</v>
      </c>
      <c r="R12" s="115"/>
      <c r="S12" s="134">
        <v>0</v>
      </c>
      <c r="T12" s="115"/>
      <c r="U12" s="133" t="s">
        <v>1106</v>
      </c>
      <c r="V12" s="210">
        <v>39.763838354383715</v>
      </c>
      <c r="W12" s="134">
        <v>12</v>
      </c>
      <c r="X12" s="115"/>
      <c r="Y12" s="95" t="s">
        <v>894</v>
      </c>
      <c r="Z12" s="212">
        <v>10632274</v>
      </c>
      <c r="AA12" s="165" t="s">
        <v>932</v>
      </c>
    </row>
    <row r="13" spans="1:28" ht="33.75" thickBot="1">
      <c r="A13" s="154"/>
      <c r="B13" s="167"/>
      <c r="C13" s="110">
        <v>1</v>
      </c>
      <c r="D13" s="110">
        <v>1</v>
      </c>
      <c r="E13" s="110">
        <v>1</v>
      </c>
      <c r="F13" s="110">
        <v>0</v>
      </c>
      <c r="G13" s="41">
        <v>6</v>
      </c>
      <c r="H13" s="110" cm="1">
        <f t="array" ref="H13">IFERROR(SUM($C$7:$F$7*C13:F13),"")</f>
        <v>6</v>
      </c>
      <c r="I13" s="51" t="s">
        <v>1255</v>
      </c>
      <c r="J13" s="52" t="s">
        <v>1296</v>
      </c>
      <c r="K13" s="52" t="s">
        <v>1268</v>
      </c>
      <c r="L13" s="52" t="s">
        <v>1271</v>
      </c>
      <c r="M13" s="52" t="s">
        <v>1270</v>
      </c>
      <c r="N13" s="52" t="s">
        <v>811</v>
      </c>
      <c r="O13" s="52" t="s">
        <v>1217</v>
      </c>
      <c r="P13" s="60"/>
      <c r="Q13" s="134">
        <v>6</v>
      </c>
      <c r="R13" s="113"/>
      <c r="S13" s="134">
        <v>0</v>
      </c>
      <c r="T13" s="113"/>
      <c r="U13" s="133" t="s">
        <v>1106</v>
      </c>
      <c r="V13" s="210">
        <v>39.763838354383715</v>
      </c>
      <c r="W13" s="134">
        <v>12</v>
      </c>
      <c r="X13" s="113"/>
      <c r="Y13" s="95" t="s">
        <v>894</v>
      </c>
      <c r="Z13" s="213">
        <v>10632274</v>
      </c>
      <c r="AA13" s="165" t="s">
        <v>932</v>
      </c>
    </row>
    <row r="14" spans="1:28" ht="33.75" thickBot="1">
      <c r="A14" s="154"/>
      <c r="B14" s="167"/>
      <c r="C14" s="110">
        <v>1</v>
      </c>
      <c r="D14" s="110">
        <v>1</v>
      </c>
      <c r="E14" s="110">
        <v>1</v>
      </c>
      <c r="F14" s="110">
        <v>0</v>
      </c>
      <c r="G14" s="41">
        <v>7</v>
      </c>
      <c r="H14" s="110" cm="1">
        <f t="array" ref="H14">IFERROR(SUM($C$7:$F$7*C14:F14),"")</f>
        <v>6</v>
      </c>
      <c r="I14" s="51" t="s">
        <v>1255</v>
      </c>
      <c r="J14" s="52" t="s">
        <v>1296</v>
      </c>
      <c r="K14" s="52" t="s">
        <v>1272</v>
      </c>
      <c r="L14" s="52" t="s">
        <v>1273</v>
      </c>
      <c r="M14" s="52" t="s">
        <v>1270</v>
      </c>
      <c r="N14" s="52" t="s">
        <v>811</v>
      </c>
      <c r="O14" s="52" t="s">
        <v>1217</v>
      </c>
      <c r="P14" s="52"/>
      <c r="Q14" s="134">
        <v>6</v>
      </c>
      <c r="R14" s="114"/>
      <c r="S14" s="134">
        <v>0</v>
      </c>
      <c r="T14" s="114"/>
      <c r="U14" s="133" t="s">
        <v>1106</v>
      </c>
      <c r="V14" s="210">
        <v>396.7670643767093</v>
      </c>
      <c r="W14" s="134">
        <v>12</v>
      </c>
      <c r="X14" s="114"/>
      <c r="Y14" s="95" t="s">
        <v>894</v>
      </c>
      <c r="Z14" s="212">
        <v>10632276</v>
      </c>
      <c r="AA14" s="165" t="s">
        <v>932</v>
      </c>
    </row>
    <row r="15" spans="1:28" ht="33.75" thickBot="1">
      <c r="A15" s="154"/>
      <c r="B15" s="168" t="s">
        <v>6</v>
      </c>
      <c r="C15" s="110">
        <v>1</v>
      </c>
      <c r="D15" s="110">
        <v>1</v>
      </c>
      <c r="E15" s="110">
        <v>1</v>
      </c>
      <c r="F15" s="110">
        <v>0</v>
      </c>
      <c r="G15" s="41">
        <v>8</v>
      </c>
      <c r="H15" s="110" cm="1">
        <f t="array" ref="H15">IFERROR(SUM($C$7:$F$7*C15:F15),"")</f>
        <v>6</v>
      </c>
      <c r="I15" s="51" t="s">
        <v>1255</v>
      </c>
      <c r="J15" s="52" t="s">
        <v>1296</v>
      </c>
      <c r="K15" s="52" t="s">
        <v>1274</v>
      </c>
      <c r="L15" s="52" t="s">
        <v>1275</v>
      </c>
      <c r="M15" s="52" t="s">
        <v>1270</v>
      </c>
      <c r="N15" s="52" t="s">
        <v>811</v>
      </c>
      <c r="O15" s="52" t="s">
        <v>1217</v>
      </c>
      <c r="P15" s="57"/>
      <c r="Q15" s="134">
        <v>6</v>
      </c>
      <c r="R15" s="114"/>
      <c r="S15" s="134">
        <v>0</v>
      </c>
      <c r="T15" s="114"/>
      <c r="U15" s="133" t="s">
        <v>1106</v>
      </c>
      <c r="V15" s="210">
        <v>289.43638515322334</v>
      </c>
      <c r="W15" s="134">
        <v>12</v>
      </c>
      <c r="X15" s="114"/>
      <c r="Y15" s="95" t="s">
        <v>894</v>
      </c>
      <c r="Z15" s="212">
        <v>10632275</v>
      </c>
      <c r="AA15" s="165" t="s">
        <v>932</v>
      </c>
    </row>
    <row r="16" spans="1:28" ht="33.75" thickBot="1">
      <c r="A16" s="154"/>
      <c r="B16" s="169" t="s">
        <v>6</v>
      </c>
      <c r="C16" s="110">
        <v>1</v>
      </c>
      <c r="D16" s="110">
        <v>1</v>
      </c>
      <c r="E16" s="110">
        <v>1</v>
      </c>
      <c r="F16" s="110">
        <v>0</v>
      </c>
      <c r="G16" s="41">
        <v>9</v>
      </c>
      <c r="H16" s="110" cm="1">
        <f t="array" ref="H16">IFERROR(SUM($C$7:$F$7*C16:F16),"")</f>
        <v>6</v>
      </c>
      <c r="I16" s="51" t="s">
        <v>1255</v>
      </c>
      <c r="J16" s="52" t="s">
        <v>1296</v>
      </c>
      <c r="K16" s="52" t="s">
        <v>1276</v>
      </c>
      <c r="L16" s="52" t="s">
        <v>1277</v>
      </c>
      <c r="M16" s="52" t="s">
        <v>1221</v>
      </c>
      <c r="N16" s="52" t="s">
        <v>811</v>
      </c>
      <c r="O16" s="52" t="s">
        <v>1217</v>
      </c>
      <c r="P16" s="60"/>
      <c r="Q16" s="134">
        <v>6</v>
      </c>
      <c r="R16" s="114"/>
      <c r="S16" s="134">
        <v>0</v>
      </c>
      <c r="T16" s="114"/>
      <c r="U16" s="133" t="s">
        <v>1106</v>
      </c>
      <c r="V16" s="210">
        <v>112.05692561487682</v>
      </c>
      <c r="W16" s="134">
        <v>12</v>
      </c>
      <c r="X16" s="114"/>
      <c r="Y16" s="95" t="s">
        <v>894</v>
      </c>
      <c r="Z16" s="212">
        <v>10632277</v>
      </c>
      <c r="AA16" s="165" t="s">
        <v>932</v>
      </c>
    </row>
    <row r="17" spans="1:27" ht="33.75" thickBot="1">
      <c r="A17" s="154"/>
      <c r="B17" s="167"/>
      <c r="C17" s="110">
        <v>1</v>
      </c>
      <c r="D17" s="110">
        <v>1</v>
      </c>
      <c r="E17" s="110">
        <v>1</v>
      </c>
      <c r="F17" s="110">
        <v>0</v>
      </c>
      <c r="G17" s="56">
        <v>10</v>
      </c>
      <c r="H17" s="110" cm="1">
        <f t="array" ref="H17">IFERROR(SUM($C$7:$F$7*C17:F17),"")</f>
        <v>6</v>
      </c>
      <c r="I17" s="51" t="s">
        <v>1256</v>
      </c>
      <c r="J17" s="52" t="s">
        <v>1296</v>
      </c>
      <c r="K17" s="52" t="s">
        <v>1278</v>
      </c>
      <c r="L17" s="52" t="s">
        <v>1279</v>
      </c>
      <c r="M17" s="52" t="s">
        <v>1280</v>
      </c>
      <c r="N17" s="52" t="s">
        <v>811</v>
      </c>
      <c r="O17" s="52" t="s">
        <v>1217</v>
      </c>
      <c r="P17" s="52"/>
      <c r="Q17" s="134">
        <v>6</v>
      </c>
      <c r="R17" s="115"/>
      <c r="S17" s="134">
        <v>0</v>
      </c>
      <c r="T17" s="115"/>
      <c r="U17" s="133" t="s">
        <v>1106</v>
      </c>
      <c r="V17" s="210">
        <v>193.74969843590151</v>
      </c>
      <c r="W17" s="134">
        <v>12</v>
      </c>
      <c r="X17" s="115"/>
      <c r="Y17" s="95" t="s">
        <v>894</v>
      </c>
      <c r="Z17" s="212">
        <v>10632285</v>
      </c>
      <c r="AA17" s="165" t="s">
        <v>932</v>
      </c>
    </row>
    <row r="18" spans="1:27" ht="33.75" thickBot="1">
      <c r="A18" s="155">
        <v>5</v>
      </c>
      <c r="B18" s="170" t="s">
        <v>25</v>
      </c>
      <c r="C18" s="110">
        <v>1</v>
      </c>
      <c r="D18" s="110">
        <v>1</v>
      </c>
      <c r="E18" s="110">
        <v>1</v>
      </c>
      <c r="F18" s="110">
        <v>0</v>
      </c>
      <c r="G18" s="41">
        <v>11</v>
      </c>
      <c r="H18" s="110" cm="1">
        <f t="array" ref="H18">IFERROR(SUM($C$7:$F$7*C18:F18),"")</f>
        <v>6</v>
      </c>
      <c r="I18" s="51" t="s">
        <v>1256</v>
      </c>
      <c r="J18" s="52" t="s">
        <v>1296</v>
      </c>
      <c r="K18" s="52" t="s">
        <v>1281</v>
      </c>
      <c r="L18" s="52" t="s">
        <v>1282</v>
      </c>
      <c r="M18" s="52" t="s">
        <v>1280</v>
      </c>
      <c r="N18" s="52" t="s">
        <v>811</v>
      </c>
      <c r="O18" s="52" t="s">
        <v>1217</v>
      </c>
      <c r="P18" s="57"/>
      <c r="Q18" s="134">
        <v>6</v>
      </c>
      <c r="R18" s="113"/>
      <c r="S18" s="134">
        <v>0</v>
      </c>
      <c r="T18" s="113"/>
      <c r="U18" s="133" t="s">
        <v>1106</v>
      </c>
      <c r="V18" s="210">
        <v>329.56987406335827</v>
      </c>
      <c r="W18" s="134">
        <v>12</v>
      </c>
      <c r="X18" s="113"/>
      <c r="Y18" s="95" t="s">
        <v>894</v>
      </c>
      <c r="Z18" s="212">
        <v>10632286</v>
      </c>
      <c r="AA18" s="165" t="s">
        <v>932</v>
      </c>
    </row>
    <row r="19" spans="1:27" ht="33.75" thickBot="1">
      <c r="A19" s="154"/>
      <c r="B19" s="171" t="s">
        <v>26</v>
      </c>
      <c r="C19" s="110">
        <v>1</v>
      </c>
      <c r="D19" s="110">
        <v>1</v>
      </c>
      <c r="E19" s="110">
        <v>1</v>
      </c>
      <c r="F19" s="110">
        <v>1</v>
      </c>
      <c r="G19" s="41">
        <v>12</v>
      </c>
      <c r="H19" s="110" cm="1">
        <f t="array" ref="H19">IFERROR(SUM($C$7:$F$7*C19:F19),"")</f>
        <v>8</v>
      </c>
      <c r="I19" s="51" t="s">
        <v>1206</v>
      </c>
      <c r="J19" s="52" t="s">
        <v>1295</v>
      </c>
      <c r="K19" s="52" t="s">
        <v>1283</v>
      </c>
      <c r="L19" s="52" t="s">
        <v>1284</v>
      </c>
      <c r="M19" s="52" t="s">
        <v>1221</v>
      </c>
      <c r="N19" s="52" t="s">
        <v>811</v>
      </c>
      <c r="O19" s="52" t="s">
        <v>1217</v>
      </c>
      <c r="P19" s="57"/>
      <c r="Q19" s="134">
        <v>4</v>
      </c>
      <c r="R19" s="114"/>
      <c r="S19" s="134">
        <v>0</v>
      </c>
      <c r="T19" s="114"/>
      <c r="U19" s="133" t="s">
        <v>1106</v>
      </c>
      <c r="V19" s="210">
        <v>2976.0830279643828</v>
      </c>
      <c r="W19" s="134">
        <v>18</v>
      </c>
      <c r="X19" s="114"/>
      <c r="Y19" s="95" t="s">
        <v>894</v>
      </c>
      <c r="Z19" s="212">
        <v>10632269</v>
      </c>
      <c r="AA19" s="165" t="s">
        <v>932</v>
      </c>
    </row>
    <row r="20" spans="1:27" ht="33.75" thickBot="1">
      <c r="A20" s="154"/>
      <c r="B20" s="170" t="s">
        <v>27</v>
      </c>
      <c r="C20" s="110">
        <v>1</v>
      </c>
      <c r="D20" s="110">
        <v>1</v>
      </c>
      <c r="E20" s="110">
        <v>1</v>
      </c>
      <c r="F20" s="110">
        <v>0</v>
      </c>
      <c r="G20" s="41">
        <v>13</v>
      </c>
      <c r="H20" s="110" cm="1">
        <f t="array" ref="H20">IFERROR(SUM($C$7:$F$7*C20:F20),"")</f>
        <v>6</v>
      </c>
      <c r="I20" s="51" t="s">
        <v>1207</v>
      </c>
      <c r="J20" s="52" t="s">
        <v>1296</v>
      </c>
      <c r="K20" s="52" t="s">
        <v>1285</v>
      </c>
      <c r="L20" s="52" t="s">
        <v>1286</v>
      </c>
      <c r="M20" s="52" t="s">
        <v>1263</v>
      </c>
      <c r="N20" s="52" t="s">
        <v>811</v>
      </c>
      <c r="O20" s="52" t="s">
        <v>1217</v>
      </c>
      <c r="P20" s="57"/>
      <c r="Q20" s="134">
        <v>3</v>
      </c>
      <c r="R20" s="114"/>
      <c r="S20" s="134">
        <v>0</v>
      </c>
      <c r="T20" s="114"/>
      <c r="U20" s="133" t="s">
        <v>1106</v>
      </c>
      <c r="V20" s="210">
        <v>2552.8009167494897</v>
      </c>
      <c r="W20" s="134">
        <v>16</v>
      </c>
      <c r="X20" s="114"/>
      <c r="Y20" s="95" t="s">
        <v>894</v>
      </c>
      <c r="Z20" s="212">
        <v>10632289</v>
      </c>
      <c r="AA20" s="165" t="s">
        <v>932</v>
      </c>
    </row>
    <row r="21" spans="1:27" ht="33.75" thickBot="1">
      <c r="A21" s="154"/>
      <c r="B21" s="171" t="s">
        <v>28</v>
      </c>
      <c r="C21" s="110">
        <v>1</v>
      </c>
      <c r="D21" s="110">
        <v>1</v>
      </c>
      <c r="E21" s="110">
        <v>1</v>
      </c>
      <c r="F21" s="110">
        <v>0</v>
      </c>
      <c r="G21" s="41">
        <v>14</v>
      </c>
      <c r="H21" s="110" cm="1">
        <f t="array" ref="H21">IFERROR(SUM($C$7:$F$7*C21:F21),"")</f>
        <v>6</v>
      </c>
      <c r="I21" s="51" t="s">
        <v>1207</v>
      </c>
      <c r="J21" s="52" t="s">
        <v>1296</v>
      </c>
      <c r="K21" s="52" t="s">
        <v>1287</v>
      </c>
      <c r="L21" s="52" t="s">
        <v>1288</v>
      </c>
      <c r="M21" s="52" t="s">
        <v>1221</v>
      </c>
      <c r="N21" s="52" t="s">
        <v>811</v>
      </c>
      <c r="O21" s="52" t="s">
        <v>1217</v>
      </c>
      <c r="P21" s="60"/>
      <c r="Q21" s="134">
        <v>3</v>
      </c>
      <c r="R21" s="114"/>
      <c r="S21" s="134">
        <v>0</v>
      </c>
      <c r="T21" s="114"/>
      <c r="U21" s="133" t="s">
        <v>1106</v>
      </c>
      <c r="V21" s="210">
        <v>939.87292092625125</v>
      </c>
      <c r="W21" s="134">
        <v>16</v>
      </c>
      <c r="X21" s="114"/>
      <c r="Y21" s="95" t="s">
        <v>894</v>
      </c>
      <c r="Z21" s="212">
        <v>10632290</v>
      </c>
      <c r="AA21" s="165" t="s">
        <v>932</v>
      </c>
    </row>
    <row r="22" spans="1:27" ht="33.75" thickBot="1">
      <c r="A22" s="154"/>
      <c r="B22" s="170" t="s">
        <v>29</v>
      </c>
      <c r="C22" s="110">
        <v>1</v>
      </c>
      <c r="D22" s="110">
        <v>1</v>
      </c>
      <c r="E22" s="110">
        <v>1</v>
      </c>
      <c r="F22" s="110">
        <v>1</v>
      </c>
      <c r="G22" s="56">
        <v>15</v>
      </c>
      <c r="H22" s="110" cm="1">
        <f t="array" ref="H22">IFERROR(SUM($C$7:$F$7*C22:F22),"")</f>
        <v>8</v>
      </c>
      <c r="I22" s="51" t="s">
        <v>1257</v>
      </c>
      <c r="J22" s="52" t="s">
        <v>1295</v>
      </c>
      <c r="K22" s="52" t="s">
        <v>1289</v>
      </c>
      <c r="L22" s="52" t="s">
        <v>1290</v>
      </c>
      <c r="M22" s="52" t="s">
        <v>1280</v>
      </c>
      <c r="N22" s="52" t="s">
        <v>811</v>
      </c>
      <c r="O22" s="52" t="s">
        <v>1217</v>
      </c>
      <c r="P22" s="52"/>
      <c r="Q22" s="134">
        <v>4</v>
      </c>
      <c r="R22" s="115"/>
      <c r="S22" s="134">
        <v>0</v>
      </c>
      <c r="T22" s="115"/>
      <c r="U22" s="133" t="s">
        <v>1106</v>
      </c>
      <c r="V22" s="210">
        <v>1660.8661426990102</v>
      </c>
      <c r="W22" s="134">
        <v>14</v>
      </c>
      <c r="X22" s="115"/>
      <c r="Y22" s="95" t="s">
        <v>894</v>
      </c>
      <c r="Z22" s="212">
        <v>10632291</v>
      </c>
      <c r="AA22" s="165" t="s">
        <v>932</v>
      </c>
    </row>
    <row r="23" spans="1:27" ht="33.75" thickBot="1">
      <c r="A23" s="154"/>
      <c r="B23" s="171" t="s">
        <v>30</v>
      </c>
      <c r="C23" s="110">
        <v>1</v>
      </c>
      <c r="D23" s="110">
        <v>1</v>
      </c>
      <c r="E23" s="110">
        <v>1</v>
      </c>
      <c r="F23" s="110">
        <v>1</v>
      </c>
      <c r="G23" s="41">
        <v>16</v>
      </c>
      <c r="H23" s="110" cm="1">
        <f t="array" ref="H23">IFERROR(SUM($C$7:$F$7*C23:F23),"")</f>
        <v>8</v>
      </c>
      <c r="I23" s="51" t="s">
        <v>1258</v>
      </c>
      <c r="J23" s="52" t="s">
        <v>1295</v>
      </c>
      <c r="K23" s="52" t="s">
        <v>1291</v>
      </c>
      <c r="L23" s="52" t="s">
        <v>1292</v>
      </c>
      <c r="M23" s="52" t="s">
        <v>1220</v>
      </c>
      <c r="N23" s="52" t="s">
        <v>811</v>
      </c>
      <c r="O23" s="52" t="s">
        <v>1217</v>
      </c>
      <c r="P23" s="57"/>
      <c r="Q23" s="134">
        <v>4</v>
      </c>
      <c r="R23" s="113"/>
      <c r="S23" s="134">
        <v>0</v>
      </c>
      <c r="T23" s="113"/>
      <c r="U23" s="133" t="s">
        <v>1106</v>
      </c>
      <c r="V23" s="210">
        <v>10318.86802965338</v>
      </c>
      <c r="W23" s="134">
        <v>18</v>
      </c>
      <c r="X23" s="113"/>
      <c r="Y23" s="95" t="s">
        <v>894</v>
      </c>
      <c r="Z23" s="212">
        <v>10632271</v>
      </c>
      <c r="AA23" s="165" t="s">
        <v>932</v>
      </c>
    </row>
    <row r="24" spans="1:27" ht="33.75" thickBot="1">
      <c r="A24" s="154"/>
      <c r="B24" s="172" t="s">
        <v>31</v>
      </c>
      <c r="C24" s="110">
        <v>1</v>
      </c>
      <c r="D24" s="110">
        <v>1</v>
      </c>
      <c r="E24" s="110">
        <v>1</v>
      </c>
      <c r="F24" s="110">
        <v>0</v>
      </c>
      <c r="G24" s="41">
        <v>17</v>
      </c>
      <c r="H24" s="110" cm="1">
        <f t="array" ref="H24">IFERROR(SUM($C$7:$F$7*C24:F24),"")</f>
        <v>6</v>
      </c>
      <c r="I24" s="51" t="s">
        <v>1259</v>
      </c>
      <c r="J24" s="52" t="s">
        <v>1296</v>
      </c>
      <c r="K24" s="52" t="s">
        <v>1293</v>
      </c>
      <c r="L24" s="52" t="s">
        <v>1294</v>
      </c>
      <c r="M24" s="52" t="s">
        <v>1221</v>
      </c>
      <c r="N24" s="52" t="s">
        <v>811</v>
      </c>
      <c r="O24" s="52" t="s">
        <v>1217</v>
      </c>
      <c r="P24" s="57"/>
      <c r="Q24" s="134">
        <v>3</v>
      </c>
      <c r="R24" s="114"/>
      <c r="S24" s="134">
        <v>0</v>
      </c>
      <c r="T24" s="114"/>
      <c r="U24" s="133" t="s">
        <v>1106</v>
      </c>
      <c r="V24" s="210">
        <v>1902.3323639991922</v>
      </c>
      <c r="W24" s="134">
        <v>18</v>
      </c>
      <c r="X24" s="114"/>
      <c r="Y24" s="95" t="s">
        <v>894</v>
      </c>
      <c r="Z24" s="212">
        <v>10632267</v>
      </c>
      <c r="AA24" s="165" t="s">
        <v>932</v>
      </c>
    </row>
    <row r="25" spans="1:27" ht="33.75" thickBot="1">
      <c r="A25" s="154"/>
      <c r="B25" s="172" t="s">
        <v>32</v>
      </c>
      <c r="C25" s="144">
        <v>8</v>
      </c>
      <c r="D25" s="144">
        <v>8</v>
      </c>
      <c r="E25" s="144">
        <v>8</v>
      </c>
      <c r="F25" s="144">
        <v>0</v>
      </c>
      <c r="G25" s="41">
        <v>18</v>
      </c>
      <c r="H25" s="110" cm="1">
        <f t="array" ref="H25">IFERROR(SUM($C$7:$F$7*C25:F25),"")</f>
        <v>48</v>
      </c>
      <c r="I25" s="51" t="s">
        <v>1259</v>
      </c>
      <c r="J25" s="52" t="s">
        <v>1296</v>
      </c>
      <c r="K25" s="52" t="s">
        <v>1297</v>
      </c>
      <c r="L25" s="52" t="s">
        <v>1298</v>
      </c>
      <c r="M25" s="52" t="s">
        <v>1221</v>
      </c>
      <c r="N25" s="52" t="s">
        <v>811</v>
      </c>
      <c r="O25" s="52" t="s">
        <v>1217</v>
      </c>
      <c r="P25" s="86"/>
      <c r="Q25" s="134">
        <v>24</v>
      </c>
      <c r="R25" s="114"/>
      <c r="S25" s="134">
        <v>0</v>
      </c>
      <c r="T25" s="114"/>
      <c r="U25" s="133" t="s">
        <v>1106</v>
      </c>
      <c r="V25" s="210">
        <v>784.3868367669487</v>
      </c>
      <c r="W25" s="134">
        <v>18</v>
      </c>
      <c r="X25" s="114"/>
      <c r="Y25" s="95" t="s">
        <v>894</v>
      </c>
      <c r="Z25" s="212">
        <v>10632268</v>
      </c>
      <c r="AA25" s="165" t="s">
        <v>932</v>
      </c>
    </row>
    <row r="26" spans="1:27" ht="13.5" thickBot="1">
      <c r="A26" s="154"/>
      <c r="B26" s="172" t="s">
        <v>6</v>
      </c>
      <c r="C26" s="110"/>
      <c r="D26" s="110"/>
      <c r="E26" s="110"/>
      <c r="F26" s="110"/>
      <c r="G26" s="41">
        <v>19</v>
      </c>
      <c r="H26" s="110" cm="1">
        <f t="array" ref="H26">IFERROR(SUM($C$7:$F$7*C26:F26),"")</f>
        <v>0</v>
      </c>
      <c r="I26" s="51"/>
      <c r="J26" s="52"/>
      <c r="K26" s="52"/>
      <c r="L26" s="52"/>
      <c r="M26" s="52"/>
      <c r="N26" s="52"/>
      <c r="O26" s="52"/>
      <c r="P26" s="57"/>
      <c r="Q26" s="134"/>
      <c r="R26" s="114"/>
      <c r="S26" s="134"/>
      <c r="T26" s="114"/>
      <c r="U26" s="133"/>
      <c r="V26" s="138"/>
      <c r="W26" s="134"/>
      <c r="X26" s="114"/>
      <c r="Y26" s="95"/>
      <c r="Z26" s="114"/>
      <c r="AA26" s="165"/>
    </row>
    <row r="27" spans="1:27" ht="13.5" thickBot="1">
      <c r="A27" s="154"/>
      <c r="B27" s="166"/>
      <c r="C27" s="110"/>
      <c r="D27" s="110"/>
      <c r="E27" s="110"/>
      <c r="F27" s="110"/>
      <c r="G27" s="56">
        <v>20</v>
      </c>
      <c r="H27" s="110" cm="1">
        <f t="array" ref="H27">IFERROR(SUM($C$7:$F$7*C27:F27),"")</f>
        <v>0</v>
      </c>
      <c r="I27" s="51"/>
      <c r="J27" s="52"/>
      <c r="K27" s="52"/>
      <c r="L27" s="52"/>
      <c r="M27" s="52"/>
      <c r="N27" s="52"/>
      <c r="O27" s="52"/>
      <c r="P27" s="60"/>
      <c r="Q27" s="134"/>
      <c r="R27" s="115"/>
      <c r="S27" s="134"/>
      <c r="T27" s="115"/>
      <c r="U27" s="133"/>
      <c r="V27" s="138"/>
      <c r="W27" s="134"/>
      <c r="X27" s="115"/>
      <c r="Y27" s="95"/>
      <c r="Z27" s="115"/>
      <c r="AA27" s="165"/>
    </row>
    <row r="28" spans="1:27" ht="13.5" thickBot="1">
      <c r="A28" s="154"/>
      <c r="B28" s="173"/>
      <c r="C28" s="110"/>
      <c r="D28" s="110"/>
      <c r="E28" s="110"/>
      <c r="F28" s="110"/>
      <c r="G28" s="41">
        <v>21</v>
      </c>
      <c r="H28" s="110" cm="1">
        <f t="array" ref="H28">IFERROR(SUM($C$7:$F$7*C28:F28),"")</f>
        <v>0</v>
      </c>
      <c r="I28" s="51"/>
      <c r="J28" s="52"/>
      <c r="K28" s="52"/>
      <c r="L28" s="52"/>
      <c r="M28" s="52"/>
      <c r="N28" s="52"/>
      <c r="O28" s="52"/>
      <c r="P28" s="52"/>
      <c r="Q28" s="134"/>
      <c r="R28" s="113"/>
      <c r="S28" s="134"/>
      <c r="T28" s="113"/>
      <c r="U28" s="133"/>
      <c r="V28" s="138"/>
      <c r="W28" s="134"/>
      <c r="X28" s="113"/>
      <c r="Y28" s="95"/>
      <c r="Z28" s="113"/>
      <c r="AA28" s="165"/>
    </row>
    <row r="29" spans="1:27" ht="13.5" thickBot="1">
      <c r="A29" s="154"/>
      <c r="B29" s="173"/>
      <c r="C29" s="110"/>
      <c r="D29" s="110"/>
      <c r="E29" s="110"/>
      <c r="F29" s="110"/>
      <c r="G29" s="41">
        <v>22</v>
      </c>
      <c r="H29" s="110" cm="1">
        <f t="array" ref="H29">IFERROR(SUM($C$7:$F$7*C29:F29),"")</f>
        <v>0</v>
      </c>
      <c r="I29" s="51"/>
      <c r="J29" s="52"/>
      <c r="K29" s="52"/>
      <c r="L29" s="52"/>
      <c r="M29" s="52"/>
      <c r="N29" s="52"/>
      <c r="O29" s="52"/>
      <c r="P29" s="57"/>
      <c r="Q29" s="134"/>
      <c r="R29" s="114"/>
      <c r="S29" s="134"/>
      <c r="T29" s="114"/>
      <c r="U29" s="133"/>
      <c r="V29" s="138"/>
      <c r="W29" s="134"/>
      <c r="X29" s="114"/>
      <c r="Y29" s="95"/>
      <c r="Z29" s="114"/>
      <c r="AA29" s="165"/>
    </row>
    <row r="30" spans="1:27" ht="13.5" thickBot="1">
      <c r="A30" s="154"/>
      <c r="B30" s="173"/>
      <c r="C30" s="110"/>
      <c r="D30" s="110"/>
      <c r="E30" s="110"/>
      <c r="F30" s="110"/>
      <c r="G30" s="41">
        <v>23</v>
      </c>
      <c r="H30" s="110" cm="1">
        <f t="array" ref="H30">IFERROR(SUM($C$7:$F$7*C30:F30),"")</f>
        <v>0</v>
      </c>
      <c r="I30" s="51"/>
      <c r="J30" s="52"/>
      <c r="K30" s="52"/>
      <c r="L30" s="52"/>
      <c r="M30" s="52"/>
      <c r="N30" s="52"/>
      <c r="O30" s="52"/>
      <c r="P30" s="57"/>
      <c r="Q30" s="134"/>
      <c r="R30" s="114"/>
      <c r="S30" s="134"/>
      <c r="T30" s="114"/>
      <c r="U30" s="133"/>
      <c r="V30" s="138"/>
      <c r="W30" s="134"/>
      <c r="X30" s="114"/>
      <c r="Y30" s="95"/>
      <c r="Z30" s="114"/>
      <c r="AA30" s="165"/>
    </row>
    <row r="31" spans="1:27" ht="13.5" thickBot="1">
      <c r="A31" s="154"/>
      <c r="B31" s="173"/>
      <c r="C31" s="144"/>
      <c r="D31" s="144"/>
      <c r="E31" s="144"/>
      <c r="F31" s="144"/>
      <c r="G31" s="145">
        <v>24</v>
      </c>
      <c r="H31" s="110" cm="1">
        <f t="array" ref="H31">IFERROR(SUM($C$7:$F$7*C31:F31),"")</f>
        <v>0</v>
      </c>
      <c r="I31" s="51"/>
      <c r="J31" s="52"/>
      <c r="K31" s="52"/>
      <c r="L31" s="52"/>
      <c r="M31" s="52"/>
      <c r="N31" s="52"/>
      <c r="O31" s="52"/>
      <c r="P31" s="86"/>
      <c r="Q31" s="134"/>
      <c r="R31" s="116"/>
      <c r="S31" s="134"/>
      <c r="T31" s="116"/>
      <c r="U31" s="133"/>
      <c r="V31" s="138"/>
      <c r="W31" s="134"/>
      <c r="X31" s="115"/>
      <c r="Y31" s="95"/>
      <c r="Z31" s="115"/>
      <c r="AA31" s="165"/>
    </row>
    <row r="32" spans="1:27" ht="36.6" customHeight="1" thickBot="1">
      <c r="A32" s="8" t="s">
        <v>6</v>
      </c>
      <c r="B32" s="174" t="s">
        <v>6</v>
      </c>
      <c r="C32" s="226" t="s">
        <v>1329</v>
      </c>
      <c r="D32" s="229" t="s">
        <v>1330</v>
      </c>
      <c r="E32" s="229" t="s">
        <v>1331</v>
      </c>
      <c r="F32" s="229" t="s">
        <v>1332</v>
      </c>
      <c r="G32" s="232"/>
      <c r="H32" s="214"/>
      <c r="I32" s="28" t="s">
        <v>33</v>
      </c>
      <c r="J32" s="130" t="s">
        <v>1229</v>
      </c>
      <c r="K32" s="222" t="s">
        <v>51</v>
      </c>
      <c r="L32" s="223"/>
      <c r="M32" s="223"/>
      <c r="N32" s="223"/>
      <c r="O32" s="224"/>
      <c r="P32" s="240" t="s">
        <v>1125</v>
      </c>
      <c r="Q32" s="241"/>
      <c r="R32" s="241"/>
      <c r="S32" s="241"/>
      <c r="T32" s="241"/>
      <c r="U32" s="241"/>
      <c r="V32" s="242"/>
      <c r="W32" s="29" t="s">
        <v>34</v>
      </c>
      <c r="X32" s="30"/>
      <c r="Y32" s="217" t="s">
        <v>1383</v>
      </c>
      <c r="Z32" s="218"/>
      <c r="AA32" s="219"/>
    </row>
    <row r="33" spans="1:27" ht="17.100000000000001" customHeight="1" thickTop="1" thickBot="1">
      <c r="A33" s="2"/>
      <c r="B33" s="175" t="s">
        <v>35</v>
      </c>
      <c r="C33" s="227"/>
      <c r="D33" s="230"/>
      <c r="E33" s="230"/>
      <c r="F33" s="230"/>
      <c r="G33" s="233"/>
      <c r="H33" s="215"/>
      <c r="I33" s="32" t="s">
        <v>36</v>
      </c>
      <c r="J33" s="130" t="s">
        <v>1230</v>
      </c>
      <c r="K33" s="142" t="s">
        <v>1231</v>
      </c>
      <c r="L33" s="225" t="s">
        <v>1232</v>
      </c>
      <c r="M33" s="225"/>
      <c r="N33" s="142" t="s">
        <v>1233</v>
      </c>
      <c r="O33" s="142" t="s">
        <v>1234</v>
      </c>
      <c r="P33" s="243"/>
      <c r="Q33" s="244"/>
      <c r="R33" s="244"/>
      <c r="S33" s="244"/>
      <c r="T33" s="244"/>
      <c r="U33" s="244"/>
      <c r="V33" s="245"/>
      <c r="W33" s="33" t="s">
        <v>37</v>
      </c>
      <c r="X33" s="34"/>
      <c r="Y33" s="217">
        <v>45888</v>
      </c>
      <c r="Z33" s="218"/>
      <c r="AA33" s="219"/>
    </row>
    <row r="34" spans="1:27" ht="24.4" customHeight="1" thickTop="1" thickBot="1">
      <c r="A34" s="2">
        <v>6</v>
      </c>
      <c r="B34" s="176" t="s">
        <v>49</v>
      </c>
      <c r="C34" s="227"/>
      <c r="D34" s="230"/>
      <c r="E34" s="230"/>
      <c r="F34" s="230"/>
      <c r="G34" s="233"/>
      <c r="H34" s="215"/>
      <c r="I34" s="35" t="s">
        <v>38</v>
      </c>
      <c r="J34" s="130" t="s">
        <v>1379</v>
      </c>
      <c r="K34" s="142" t="s">
        <v>1235</v>
      </c>
      <c r="L34" s="225" t="s">
        <v>1236</v>
      </c>
      <c r="M34" s="225"/>
      <c r="N34" s="142" t="s">
        <v>1237</v>
      </c>
      <c r="O34" s="142" t="s">
        <v>1238</v>
      </c>
      <c r="P34" s="243"/>
      <c r="Q34" s="244"/>
      <c r="R34" s="244"/>
      <c r="S34" s="244"/>
      <c r="T34" s="244"/>
      <c r="U34" s="244"/>
      <c r="V34" s="245"/>
      <c r="W34" s="33" t="s">
        <v>39</v>
      </c>
      <c r="X34" s="34"/>
      <c r="Y34" s="217" t="s">
        <v>1221</v>
      </c>
      <c r="Z34" s="218"/>
      <c r="AA34" s="219"/>
    </row>
    <row r="35" spans="1:27" ht="17.100000000000001" customHeight="1">
      <c r="A35" s="2"/>
      <c r="B35" s="177" t="s">
        <v>48</v>
      </c>
      <c r="C35" s="227"/>
      <c r="D35" s="230"/>
      <c r="E35" s="230"/>
      <c r="F35" s="230"/>
      <c r="G35" s="233"/>
      <c r="H35" s="215"/>
      <c r="I35" s="36" t="s">
        <v>40</v>
      </c>
      <c r="J35" s="37"/>
      <c r="K35" s="142" t="s">
        <v>1239</v>
      </c>
      <c r="L35" s="142" t="s">
        <v>1240</v>
      </c>
      <c r="M35" s="142"/>
      <c r="N35" s="142" t="s">
        <v>1241</v>
      </c>
      <c r="O35" s="142" t="s">
        <v>1242</v>
      </c>
      <c r="P35" s="243"/>
      <c r="Q35" s="244"/>
      <c r="R35" s="244"/>
      <c r="S35" s="244"/>
      <c r="T35" s="244"/>
      <c r="U35" s="244"/>
      <c r="V35" s="245"/>
      <c r="W35" s="38" t="s">
        <v>41</v>
      </c>
      <c r="X35" s="39"/>
      <c r="Y35" s="131">
        <v>1</v>
      </c>
      <c r="Z35" s="132" t="s">
        <v>31</v>
      </c>
      <c r="AA35" s="178">
        <v>9</v>
      </c>
    </row>
    <row r="36" spans="1:27" ht="17.100000000000001" customHeight="1" thickBot="1">
      <c r="A36" s="40"/>
      <c r="B36" s="179" t="s">
        <v>42</v>
      </c>
      <c r="C36" s="228"/>
      <c r="D36" s="231"/>
      <c r="E36" s="231"/>
      <c r="F36" s="231"/>
      <c r="G36" s="234"/>
      <c r="H36" s="216"/>
      <c r="I36" s="180" t="s">
        <v>43</v>
      </c>
      <c r="J36" s="181"/>
      <c r="K36" s="148" t="s">
        <v>1243</v>
      </c>
      <c r="L36" s="148" t="s">
        <v>1244</v>
      </c>
      <c r="M36" s="148" t="s">
        <v>1245</v>
      </c>
      <c r="N36" s="148" t="s">
        <v>1246</v>
      </c>
      <c r="O36" s="148" t="s">
        <v>1247</v>
      </c>
      <c r="P36" s="246"/>
      <c r="Q36" s="247"/>
      <c r="R36" s="247"/>
      <c r="S36" s="247"/>
      <c r="T36" s="247"/>
      <c r="U36" s="247"/>
      <c r="V36" s="248"/>
      <c r="W36" s="182" t="s">
        <v>44</v>
      </c>
      <c r="X36" s="183"/>
      <c r="Y36" s="220">
        <v>2316054</v>
      </c>
      <c r="Z36" s="220"/>
      <c r="AA36" s="221"/>
    </row>
    <row r="37" spans="1:27" ht="17.100000000000001" customHeight="1" thickTop="1"/>
  </sheetData>
  <sheetProtection algorithmName="SHA-512" hashValue="XIi0Y8H5w36PtPR+G95ssMKosnXI5IKDBNLfRPl2LO0/ZU9aotYxHSljqubEkP4I7gQVqI3i4dStqrEsdX3mhQ==" saltValue="Ras/xo/W+a2VXlb7gnFbtw==" spinCount="100000" sheet="1" scenarios="1" formatCells="0" formatColumns="0" formatRows="0"/>
  <mergeCells count="35">
    <mergeCell ref="C1:C3"/>
    <mergeCell ref="D1:D3"/>
    <mergeCell ref="E1:E3"/>
    <mergeCell ref="G2:L4"/>
    <mergeCell ref="Y1:AA1"/>
    <mergeCell ref="W4:AA4"/>
    <mergeCell ref="U5:AA5"/>
    <mergeCell ref="U7:V7"/>
    <mergeCell ref="P32:V36"/>
    <mergeCell ref="B1:B3"/>
    <mergeCell ref="B4:B5"/>
    <mergeCell ref="F1:F3"/>
    <mergeCell ref="U3:X3"/>
    <mergeCell ref="U2:W2"/>
    <mergeCell ref="U1:X1"/>
    <mergeCell ref="C4:C5"/>
    <mergeCell ref="D4:D5"/>
    <mergeCell ref="E4:E5"/>
    <mergeCell ref="F4:F5"/>
    <mergeCell ref="G1:L1"/>
    <mergeCell ref="X2:AA2"/>
    <mergeCell ref="Y3:AA3"/>
    <mergeCell ref="C32:C36"/>
    <mergeCell ref="D32:D36"/>
    <mergeCell ref="E32:E36"/>
    <mergeCell ref="F32:F36"/>
    <mergeCell ref="G32:G36"/>
    <mergeCell ref="H32:H36"/>
    <mergeCell ref="Y32:AA32"/>
    <mergeCell ref="Y33:AA33"/>
    <mergeCell ref="Y34:AA34"/>
    <mergeCell ref="Y36:AA36"/>
    <mergeCell ref="K32:O32"/>
    <mergeCell ref="L33:M33"/>
    <mergeCell ref="L34:M34"/>
  </mergeCells>
  <phoneticPr fontId="0" type="noConversion"/>
  <dataValidations disablePrompts="1" count="3">
    <dataValidation type="decimal" operator="greaterThan" showInputMessage="1" showErrorMessage="1" sqref="V8:V31" xr:uid="{00000000-0002-0000-0000-000000000000}">
      <formula1>0</formula1>
    </dataValidation>
    <dataValidation showInputMessage="1" showErrorMessage="1" sqref="M8:M31" xr:uid="{00000000-0002-0000-0000-000001000000}"/>
    <dataValidation type="decimal" showInputMessage="1" showErrorMessage="1" sqref="Q8:T31" xr:uid="{00000000-0002-0000-0000-000002000000}">
      <formula1>0</formula1>
      <formula2>9999999</formula2>
    </dataValidation>
  </dataValidations>
  <printOptions horizontalCentered="1"/>
  <pageMargins left="0" right="0" top="0.25" bottom="0.25" header="0" footer="0"/>
  <pageSetup paperSize="8" scale="82"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101" r:id="rId4" name="Button 77">
              <controlPr defaultSize="0" print="0" autoFill="0" autoLine="0" autoPict="0">
                <anchor moveWithCells="1" sizeWithCells="1">
                  <from>
                    <xdr:col>0</xdr:col>
                    <xdr:colOff>0</xdr:colOff>
                    <xdr:row>31</xdr:row>
                    <xdr:rowOff>57150</xdr:rowOff>
                  </from>
                  <to>
                    <xdr:col>0</xdr:col>
                    <xdr:colOff>0</xdr:colOff>
                    <xdr:row>36</xdr:row>
                    <xdr:rowOff>104775</xdr:rowOff>
                  </to>
                </anchor>
              </controlPr>
            </control>
          </mc:Choice>
        </mc:AlternateContent>
        <mc:AlternateContent xmlns:mc="http://schemas.openxmlformats.org/markup-compatibility/2006">
          <mc:Choice Requires="x14">
            <control shapeId="1102" r:id="rId5" name="Check Box 78">
              <controlPr locked="0" defaultSize="0" autoFill="0" autoLine="0" autoPict="0">
                <anchor moveWithCells="1">
                  <from>
                    <xdr:col>7</xdr:col>
                    <xdr:colOff>247650</xdr:colOff>
                    <xdr:row>0</xdr:row>
                    <xdr:rowOff>209550</xdr:rowOff>
                  </from>
                  <to>
                    <xdr:col>9</xdr:col>
                    <xdr:colOff>200025</xdr:colOff>
                    <xdr:row>0</xdr:row>
                    <xdr:rowOff>342900</xdr:rowOff>
                  </to>
                </anchor>
              </controlPr>
            </control>
          </mc:Choice>
        </mc:AlternateContent>
        <mc:AlternateContent xmlns:mc="http://schemas.openxmlformats.org/markup-compatibility/2006">
          <mc:Choice Requires="x14">
            <control shapeId="1103" r:id="rId6" name="Check Box 79">
              <controlPr locked="0" defaultSize="0" autoFill="0" autoLine="0" autoPict="0">
                <anchor moveWithCells="1">
                  <from>
                    <xdr:col>7</xdr:col>
                    <xdr:colOff>247650</xdr:colOff>
                    <xdr:row>0</xdr:row>
                    <xdr:rowOff>361950</xdr:rowOff>
                  </from>
                  <to>
                    <xdr:col>9</xdr:col>
                    <xdr:colOff>0</xdr:colOff>
                    <xdr:row>1</xdr:row>
                    <xdr:rowOff>19050</xdr:rowOff>
                  </to>
                </anchor>
              </controlPr>
            </control>
          </mc:Choice>
        </mc:AlternateContent>
        <mc:AlternateContent xmlns:mc="http://schemas.openxmlformats.org/markup-compatibility/2006">
          <mc:Choice Requires="x14">
            <control shapeId="1104" r:id="rId7" name="Check Box 80">
              <controlPr locked="0" defaultSize="0" autoFill="0" autoLine="0" autoPict="0">
                <anchor moveWithCells="1">
                  <from>
                    <xdr:col>9</xdr:col>
                    <xdr:colOff>38100</xdr:colOff>
                    <xdr:row>0</xdr:row>
                    <xdr:rowOff>180975</xdr:rowOff>
                  </from>
                  <to>
                    <xdr:col>9</xdr:col>
                    <xdr:colOff>1200150</xdr:colOff>
                    <xdr:row>0</xdr:row>
                    <xdr:rowOff>361950</xdr:rowOff>
                  </to>
                </anchor>
              </controlPr>
            </control>
          </mc:Choice>
        </mc:AlternateContent>
        <mc:AlternateContent xmlns:mc="http://schemas.openxmlformats.org/markup-compatibility/2006">
          <mc:Choice Requires="x14">
            <control shapeId="1105" r:id="rId8" name="Check Box 81">
              <controlPr locked="0" defaultSize="0" autoFill="0" autoLine="0" autoPict="0">
                <anchor moveWithCells="1">
                  <from>
                    <xdr:col>9</xdr:col>
                    <xdr:colOff>38100</xdr:colOff>
                    <xdr:row>0</xdr:row>
                    <xdr:rowOff>361950</xdr:rowOff>
                  </from>
                  <to>
                    <xdr:col>10</xdr:col>
                    <xdr:colOff>133350</xdr:colOff>
                    <xdr:row>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6">
        <x14:dataValidation type="list" showInputMessage="1" showErrorMessage="1" xr:uid="{00000000-0002-0000-0000-000003000000}">
          <x14:formula1>
            <xm:f>'Validation Lists'!$J$3:$J$50</xm:f>
          </x14:formula1>
          <xm:sqref>Y8:Y31</xm:sqref>
        </x14:dataValidation>
        <x14:dataValidation type="list" allowBlank="1" showInputMessage="1" showErrorMessage="1" xr:uid="{00000000-0002-0000-0000-000004000000}">
          <x14:formula1>
            <xm:f>'Validation Lists'!$C$2:$C$6</xm:f>
          </x14:formula1>
          <xm:sqref>AA8:AA31</xm:sqref>
        </x14:dataValidation>
        <x14:dataValidation type="list" showInputMessage="1" showErrorMessage="1" xr:uid="{00000000-0002-0000-0000-000005000000}">
          <x14:formula1>
            <xm:f>'Validation Lists'!$P$2:$P$35</xm:f>
          </x14:formula1>
          <xm:sqref>N9:N31</xm:sqref>
        </x14:dataValidation>
        <x14:dataValidation type="list" showInputMessage="1" showErrorMessage="1" xr:uid="{00000000-0002-0000-0000-000006000000}">
          <x14:formula1>
            <xm:f>'Validation Lists'!$G$2:$G$189</xm:f>
          </x14:formula1>
          <xm:sqref>U8:U31</xm:sqref>
        </x14:dataValidation>
        <x14:dataValidation type="list" operator="greaterThan" showDropDown="1" showInputMessage="1" showErrorMessage="1" xr:uid="{00000000-0002-0000-0000-000007000000}">
          <x14:formula1>
            <xm:f>'Validation Lists'!$E$2:$E$501</xm:f>
          </x14:formula1>
          <xm:sqref>W8:W31</xm:sqref>
        </x14:dataValidation>
        <x14:dataValidation type="list" showInputMessage="1" showErrorMessage="1" xr:uid="{00000000-0002-0000-0000-000008000000}">
          <x14:formula1>
            <xm:f>'Validation Lists'!$P$2:$P$62</xm:f>
          </x14:formula1>
          <xm:sqref>N8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B37"/>
  <sheetViews>
    <sheetView showGridLines="0" view="pageBreakPreview" zoomScale="55" zoomScaleNormal="70" zoomScaleSheetLayoutView="55" workbookViewId="0">
      <selection activeCell="A23" sqref="A23"/>
    </sheetView>
  </sheetViews>
  <sheetFormatPr defaultRowHeight="12.75"/>
  <cols>
    <col min="1" max="1" width="1.7109375" customWidth="1"/>
    <col min="2" max="2" width="3.7109375" customWidth="1"/>
    <col min="3" max="7" width="2.7109375" customWidth="1"/>
    <col min="8" max="8" width="3.7109375" customWidth="1"/>
    <col min="9" max="9" width="25.7109375" customWidth="1"/>
    <col min="10" max="10" width="19.28515625" customWidth="1"/>
    <col min="11" max="11" width="8.7109375" customWidth="1"/>
    <col min="12" max="12" width="9.42578125" customWidth="1"/>
    <col min="13" max="13" width="12" customWidth="1"/>
    <col min="14" max="14" width="25.7109375" customWidth="1"/>
    <col min="15" max="15" width="15.7109375" bestFit="1" customWidth="1"/>
    <col min="16" max="16" width="28.42578125" customWidth="1"/>
    <col min="17" max="19" width="3.7109375" customWidth="1"/>
    <col min="20" max="20" width="3.5703125" customWidth="1"/>
    <col min="21" max="21" width="4.5703125" customWidth="1"/>
    <col min="22" max="22" width="6.7109375" bestFit="1" customWidth="1"/>
    <col min="23" max="23" width="3.7109375" customWidth="1"/>
    <col min="24" max="24" width="4.7109375" customWidth="1"/>
    <col min="25" max="25" width="17.42578125" customWidth="1"/>
    <col min="26" max="26" width="12.7109375" customWidth="1"/>
    <col min="27" max="27" width="5.7109375" customWidth="1"/>
    <col min="28" max="28" width="10" hidden="1" customWidth="1"/>
  </cols>
  <sheetData>
    <row r="1" spans="1:28" ht="45.75" customHeight="1" thickBot="1">
      <c r="A1" s="184"/>
      <c r="B1" s="279" t="s">
        <v>493</v>
      </c>
      <c r="C1" s="252" t="s">
        <v>1397</v>
      </c>
      <c r="D1" s="252" t="s">
        <v>1398</v>
      </c>
      <c r="E1" s="252" t="s">
        <v>1399</v>
      </c>
      <c r="F1" s="252" t="s">
        <v>1400</v>
      </c>
      <c r="G1" s="260" t="s">
        <v>55</v>
      </c>
      <c r="H1" s="261"/>
      <c r="I1" s="261"/>
      <c r="J1" s="261"/>
      <c r="K1" s="261"/>
      <c r="L1" s="262"/>
      <c r="M1" s="156" t="s">
        <v>54</v>
      </c>
      <c r="N1" s="157"/>
      <c r="O1" s="158"/>
      <c r="P1" s="158"/>
      <c r="Q1" s="158"/>
      <c r="R1" s="158"/>
      <c r="S1" s="158"/>
      <c r="T1" s="159"/>
      <c r="U1" s="258" t="s">
        <v>53</v>
      </c>
      <c r="V1" s="259"/>
      <c r="W1" s="259"/>
      <c r="X1" s="259"/>
      <c r="Y1" s="263" t="s">
        <v>1227</v>
      </c>
      <c r="Z1" s="263"/>
      <c r="AA1" s="264"/>
    </row>
    <row r="2" spans="1:28" ht="15.6" customHeight="1" thickBot="1">
      <c r="A2" s="185">
        <v>1</v>
      </c>
      <c r="B2" s="281"/>
      <c r="C2" s="253"/>
      <c r="D2" s="253"/>
      <c r="E2" s="253"/>
      <c r="F2" s="253"/>
      <c r="G2" s="265" t="s">
        <v>734</v>
      </c>
      <c r="H2" s="266"/>
      <c r="I2" s="266"/>
      <c r="J2" s="266"/>
      <c r="K2" s="266"/>
      <c r="L2" s="267"/>
      <c r="M2" s="3" t="s">
        <v>0</v>
      </c>
      <c r="N2" s="117"/>
      <c r="O2" s="82" t="s">
        <v>47</v>
      </c>
      <c r="P2" s="82"/>
      <c r="Q2" s="4"/>
      <c r="R2" s="4"/>
      <c r="S2" s="4"/>
      <c r="T2" s="5"/>
      <c r="U2" s="256" t="s">
        <v>1</v>
      </c>
      <c r="V2" s="257"/>
      <c r="W2" s="257"/>
      <c r="X2" s="263" t="s">
        <v>1228</v>
      </c>
      <c r="Y2" s="263"/>
      <c r="Z2" s="263"/>
      <c r="AA2" s="264"/>
      <c r="AB2" s="62" t="b">
        <v>0</v>
      </c>
    </row>
    <row r="3" spans="1:28" ht="22.5" customHeight="1" thickBot="1">
      <c r="A3" s="186"/>
      <c r="B3" s="280"/>
      <c r="C3" s="253"/>
      <c r="D3" s="253"/>
      <c r="E3" s="253"/>
      <c r="F3" s="253"/>
      <c r="G3" s="268"/>
      <c r="H3" s="269"/>
      <c r="I3" s="269"/>
      <c r="J3" s="269"/>
      <c r="K3" s="269"/>
      <c r="L3" s="270"/>
      <c r="M3" s="7" t="s">
        <v>2</v>
      </c>
      <c r="N3" s="118"/>
      <c r="O3" s="118"/>
      <c r="P3" s="118"/>
      <c r="Q3" s="118"/>
      <c r="R3" s="118"/>
      <c r="S3" s="118"/>
      <c r="T3" s="119"/>
      <c r="U3" s="254" t="s">
        <v>3</v>
      </c>
      <c r="V3" s="255"/>
      <c r="W3" s="255"/>
      <c r="X3" s="255"/>
      <c r="Y3" s="263" t="s">
        <v>1217</v>
      </c>
      <c r="Z3" s="263"/>
      <c r="AA3" s="264"/>
      <c r="AB3" s="62" t="b">
        <v>1</v>
      </c>
    </row>
    <row r="4" spans="1:28" ht="41.65" customHeight="1" thickBot="1">
      <c r="A4" s="184"/>
      <c r="B4" s="279" t="s">
        <v>494</v>
      </c>
      <c r="C4" s="253" t="s">
        <v>1248</v>
      </c>
      <c r="D4" s="253" t="s">
        <v>1248</v>
      </c>
      <c r="E4" s="253" t="s">
        <v>1248</v>
      </c>
      <c r="F4" s="253" t="s">
        <v>1249</v>
      </c>
      <c r="G4" s="271"/>
      <c r="H4" s="272"/>
      <c r="I4" s="272"/>
      <c r="J4" s="272"/>
      <c r="K4" s="272"/>
      <c r="L4" s="273"/>
      <c r="M4" s="9" t="s">
        <v>4</v>
      </c>
      <c r="N4" s="120"/>
      <c r="O4" s="120"/>
      <c r="P4" s="120"/>
      <c r="Q4" s="120"/>
      <c r="R4" s="120"/>
      <c r="S4" s="120"/>
      <c r="T4" s="121"/>
      <c r="U4" s="143" t="s">
        <v>5</v>
      </c>
      <c r="V4" s="124"/>
      <c r="W4" s="263" t="s">
        <v>1217</v>
      </c>
      <c r="X4" s="263"/>
      <c r="Y4" s="263"/>
      <c r="Z4" s="263"/>
      <c r="AA4" s="264"/>
      <c r="AB4" s="62" t="b">
        <v>0</v>
      </c>
    </row>
    <row r="5" spans="1:28" ht="27" customHeight="1" thickBot="1">
      <c r="A5" s="187">
        <v>2</v>
      </c>
      <c r="B5" s="280"/>
      <c r="C5" s="253"/>
      <c r="D5" s="253"/>
      <c r="E5" s="253"/>
      <c r="F5" s="253"/>
      <c r="G5" s="11"/>
      <c r="H5" s="12" t="s">
        <v>6</v>
      </c>
      <c r="I5" s="13" t="s">
        <v>7</v>
      </c>
      <c r="J5" s="14"/>
      <c r="K5" s="14"/>
      <c r="L5" s="14"/>
      <c r="M5" s="14"/>
      <c r="N5" s="14"/>
      <c r="O5" s="15"/>
      <c r="P5" s="85"/>
      <c r="Q5" s="16" t="s">
        <v>8</v>
      </c>
      <c r="R5" s="17"/>
      <c r="S5" s="18" t="s">
        <v>9</v>
      </c>
      <c r="T5" s="19"/>
      <c r="U5" s="235" t="s">
        <v>50</v>
      </c>
      <c r="V5" s="236"/>
      <c r="W5" s="236"/>
      <c r="X5" s="236"/>
      <c r="Y5" s="236"/>
      <c r="Z5" s="236"/>
      <c r="AA5" s="237"/>
      <c r="AB5" s="62" t="b">
        <v>0</v>
      </c>
    </row>
    <row r="6" spans="1:28" ht="43.15" customHeight="1" thickBot="1">
      <c r="A6" s="188">
        <v>3</v>
      </c>
      <c r="B6" s="83" t="s">
        <v>10</v>
      </c>
      <c r="C6" s="135" t="s">
        <v>1250</v>
      </c>
      <c r="D6" s="135" t="s">
        <v>1251</v>
      </c>
      <c r="E6" s="135" t="s">
        <v>1252</v>
      </c>
      <c r="F6" s="135" t="s">
        <v>1253</v>
      </c>
      <c r="G6" s="21" t="s">
        <v>11</v>
      </c>
      <c r="H6" s="123" t="s">
        <v>12</v>
      </c>
      <c r="I6" s="45" t="s">
        <v>13</v>
      </c>
      <c r="J6" s="22" t="s">
        <v>14</v>
      </c>
      <c r="K6" s="76" t="s">
        <v>15</v>
      </c>
      <c r="L6" s="75" t="s">
        <v>16</v>
      </c>
      <c r="M6" s="77" t="s">
        <v>732</v>
      </c>
      <c r="N6" s="77" t="s">
        <v>733</v>
      </c>
      <c r="O6" s="75" t="s">
        <v>838</v>
      </c>
      <c r="P6" s="75" t="s">
        <v>839</v>
      </c>
      <c r="Q6" s="78" t="s">
        <v>17</v>
      </c>
      <c r="R6" s="79" t="s">
        <v>18</v>
      </c>
      <c r="S6" s="78" t="s">
        <v>17</v>
      </c>
      <c r="T6" s="79" t="s">
        <v>19</v>
      </c>
      <c r="U6" s="80" t="s">
        <v>841</v>
      </c>
      <c r="V6" s="80" t="s">
        <v>840</v>
      </c>
      <c r="W6" s="80" t="s">
        <v>20</v>
      </c>
      <c r="X6" s="81" t="s">
        <v>52</v>
      </c>
      <c r="Y6" s="80" t="s">
        <v>21</v>
      </c>
      <c r="Z6" s="23" t="s">
        <v>45</v>
      </c>
      <c r="AA6" s="161" t="s">
        <v>46</v>
      </c>
    </row>
    <row r="7" spans="1:28" ht="13.15" customHeight="1" thickBot="1">
      <c r="A7" s="189">
        <v>4</v>
      </c>
      <c r="B7" s="84" t="s">
        <v>22</v>
      </c>
      <c r="C7" s="137">
        <v>2</v>
      </c>
      <c r="D7" s="137">
        <v>2</v>
      </c>
      <c r="E7" s="137">
        <v>2</v>
      </c>
      <c r="F7" s="137">
        <v>2</v>
      </c>
      <c r="G7" s="24"/>
      <c r="H7" s="44">
        <v>7</v>
      </c>
      <c r="I7" s="44">
        <v>8</v>
      </c>
      <c r="J7" s="25">
        <v>9</v>
      </c>
      <c r="K7" s="44" t="s">
        <v>23</v>
      </c>
      <c r="L7" s="25" t="s">
        <v>24</v>
      </c>
      <c r="M7" s="44" t="s">
        <v>730</v>
      </c>
      <c r="N7" s="44" t="s">
        <v>731</v>
      </c>
      <c r="O7" s="44" t="s">
        <v>836</v>
      </c>
      <c r="P7" s="98" t="s">
        <v>837</v>
      </c>
      <c r="Q7" s="44">
        <v>13</v>
      </c>
      <c r="R7" s="26">
        <v>14</v>
      </c>
      <c r="S7" s="44">
        <v>15</v>
      </c>
      <c r="T7" s="26">
        <v>16</v>
      </c>
      <c r="U7" s="238">
        <v>17</v>
      </c>
      <c r="V7" s="239"/>
      <c r="W7" s="44">
        <v>18</v>
      </c>
      <c r="X7" s="26">
        <v>19</v>
      </c>
      <c r="Y7" s="44">
        <v>20</v>
      </c>
      <c r="Z7" s="26">
        <v>21</v>
      </c>
      <c r="AA7" s="163">
        <v>22</v>
      </c>
    </row>
    <row r="8" spans="1:28" ht="29.65" customHeight="1" thickBot="1">
      <c r="A8" s="190"/>
      <c r="B8" s="63"/>
      <c r="C8" s="110">
        <v>1</v>
      </c>
      <c r="D8" s="110">
        <v>1</v>
      </c>
      <c r="E8" s="110">
        <v>1</v>
      </c>
      <c r="F8" s="110">
        <v>0</v>
      </c>
      <c r="G8" s="41">
        <v>1</v>
      </c>
      <c r="H8" s="110" cm="1">
        <f t="array" ref="H8">IFERROR(SUM($C$7:$F$7*C8:F8),"")</f>
        <v>6</v>
      </c>
      <c r="I8" s="51" t="s">
        <v>1299</v>
      </c>
      <c r="J8" s="52" t="s">
        <v>1296</v>
      </c>
      <c r="K8" s="52" t="s">
        <v>1303</v>
      </c>
      <c r="L8" s="52" t="s">
        <v>1304</v>
      </c>
      <c r="M8" s="52" t="s">
        <v>1220</v>
      </c>
      <c r="N8" s="52" t="s">
        <v>811</v>
      </c>
      <c r="O8" s="52" t="s">
        <v>1217</v>
      </c>
      <c r="P8" s="52"/>
      <c r="Q8" s="52">
        <v>3</v>
      </c>
      <c r="R8" s="113"/>
      <c r="S8" s="52">
        <v>0</v>
      </c>
      <c r="T8" s="113"/>
      <c r="U8" s="52" t="s">
        <v>1106</v>
      </c>
      <c r="V8" s="209">
        <v>637.83143271988843</v>
      </c>
      <c r="W8" s="52">
        <v>14</v>
      </c>
      <c r="X8" s="113"/>
      <c r="Y8" s="52" t="s">
        <v>894</v>
      </c>
      <c r="Z8" s="212">
        <v>10632292</v>
      </c>
      <c r="AA8" s="191" t="s">
        <v>932</v>
      </c>
    </row>
    <row r="9" spans="1:28" ht="37.9" customHeight="1" thickBot="1">
      <c r="A9" s="192"/>
      <c r="B9" s="64"/>
      <c r="C9" s="110">
        <v>1</v>
      </c>
      <c r="D9" s="110">
        <v>1</v>
      </c>
      <c r="E9" s="110">
        <v>1</v>
      </c>
      <c r="F9" s="110">
        <v>1</v>
      </c>
      <c r="G9" s="41">
        <v>2</v>
      </c>
      <c r="H9" s="110" cm="1">
        <f t="array" ref="H9">IFERROR(SUM($C$7:$F$7*C9:F9),"")</f>
        <v>8</v>
      </c>
      <c r="I9" s="51" t="s">
        <v>1208</v>
      </c>
      <c r="J9" s="52" t="s">
        <v>1295</v>
      </c>
      <c r="K9" s="52" t="s">
        <v>1305</v>
      </c>
      <c r="L9" s="52" t="s">
        <v>1222</v>
      </c>
      <c r="M9" s="52" t="s">
        <v>1221</v>
      </c>
      <c r="N9" s="52" t="s">
        <v>811</v>
      </c>
      <c r="O9" s="52" t="s">
        <v>1217</v>
      </c>
      <c r="P9" s="57"/>
      <c r="Q9" s="52">
        <v>4</v>
      </c>
      <c r="R9" s="114"/>
      <c r="S9" s="52">
        <v>0</v>
      </c>
      <c r="T9" s="114"/>
      <c r="U9" s="52" t="s">
        <v>1106</v>
      </c>
      <c r="V9" s="209">
        <v>383.64446964754012</v>
      </c>
      <c r="W9" s="52">
        <v>14</v>
      </c>
      <c r="X9" s="114"/>
      <c r="Y9" s="52" t="s">
        <v>894</v>
      </c>
      <c r="Z9" s="212">
        <v>10632287</v>
      </c>
      <c r="AA9" s="191" t="s">
        <v>932</v>
      </c>
    </row>
    <row r="10" spans="1:28" ht="31.15" customHeight="1" thickBot="1">
      <c r="A10" s="192"/>
      <c r="B10" s="65"/>
      <c r="C10" s="110">
        <v>1</v>
      </c>
      <c r="D10" s="110">
        <v>1</v>
      </c>
      <c r="E10" s="110">
        <v>1</v>
      </c>
      <c r="F10" s="110">
        <v>1</v>
      </c>
      <c r="G10" s="41">
        <v>3</v>
      </c>
      <c r="H10" s="110" cm="1">
        <f t="array" ref="H10">IFERROR(SUM($C$7:$F$7*C10:F10),"")</f>
        <v>8</v>
      </c>
      <c r="I10" s="51" t="s">
        <v>1209</v>
      </c>
      <c r="J10" s="52" t="s">
        <v>1295</v>
      </c>
      <c r="K10" s="52" t="s">
        <v>1215</v>
      </c>
      <c r="L10" s="52" t="s">
        <v>1306</v>
      </c>
      <c r="M10" s="52" t="s">
        <v>1221</v>
      </c>
      <c r="N10" s="52" t="s">
        <v>811</v>
      </c>
      <c r="O10" s="52" t="s">
        <v>1217</v>
      </c>
      <c r="P10" s="57"/>
      <c r="Q10" s="52">
        <v>4</v>
      </c>
      <c r="R10" s="114"/>
      <c r="S10" s="52">
        <v>0</v>
      </c>
      <c r="T10" s="114"/>
      <c r="U10" s="52" t="s">
        <v>1106</v>
      </c>
      <c r="V10" s="209">
        <v>2557.5593880206002</v>
      </c>
      <c r="W10" s="52">
        <v>10</v>
      </c>
      <c r="X10" s="114"/>
      <c r="Y10" s="52" t="s">
        <v>894</v>
      </c>
      <c r="Z10" s="213">
        <v>10245681</v>
      </c>
      <c r="AA10" s="191" t="s">
        <v>932</v>
      </c>
    </row>
    <row r="11" spans="1:28" ht="30" customHeight="1" thickBot="1">
      <c r="A11" s="192"/>
      <c r="B11" s="65"/>
      <c r="C11" s="110">
        <v>1</v>
      </c>
      <c r="D11" s="110">
        <v>1</v>
      </c>
      <c r="E11" s="110">
        <v>1</v>
      </c>
      <c r="F11" s="110">
        <v>1</v>
      </c>
      <c r="G11" s="41">
        <v>4</v>
      </c>
      <c r="H11" s="110" cm="1">
        <f t="array" ref="H11">IFERROR(SUM($C$7:$F$7*C11:F11),"")</f>
        <v>8</v>
      </c>
      <c r="I11" s="51" t="s">
        <v>1300</v>
      </c>
      <c r="J11" s="52" t="s">
        <v>1295</v>
      </c>
      <c r="K11" s="52" t="s">
        <v>1307</v>
      </c>
      <c r="L11" s="52" t="s">
        <v>1308</v>
      </c>
      <c r="M11" s="52" t="s">
        <v>1220</v>
      </c>
      <c r="N11" s="52" t="s">
        <v>811</v>
      </c>
      <c r="O11" s="52" t="s">
        <v>1217</v>
      </c>
      <c r="P11" s="57"/>
      <c r="Q11" s="52">
        <v>4</v>
      </c>
      <c r="R11" s="115"/>
      <c r="S11" s="52">
        <v>0</v>
      </c>
      <c r="T11" s="115"/>
      <c r="U11" s="52" t="s">
        <v>1106</v>
      </c>
      <c r="V11" s="209">
        <v>380.83542188805353</v>
      </c>
      <c r="W11" s="52">
        <v>14</v>
      </c>
      <c r="X11" s="115"/>
      <c r="Y11" s="52" t="s">
        <v>894</v>
      </c>
      <c r="Z11" s="212">
        <v>10632283</v>
      </c>
      <c r="AA11" s="191" t="s">
        <v>932</v>
      </c>
    </row>
    <row r="12" spans="1:28" ht="34.15" customHeight="1" thickBot="1">
      <c r="A12" s="192"/>
      <c r="B12" s="65"/>
      <c r="C12" s="110">
        <v>1</v>
      </c>
      <c r="D12" s="110">
        <v>1</v>
      </c>
      <c r="E12" s="110">
        <v>1</v>
      </c>
      <c r="F12" s="110">
        <v>1</v>
      </c>
      <c r="G12" s="56">
        <v>5</v>
      </c>
      <c r="H12" s="110" cm="1">
        <f t="array" ref="H12">IFERROR(SUM($C$7:$F$7*C12:F12),"")</f>
        <v>8</v>
      </c>
      <c r="I12" s="51" t="s">
        <v>1300</v>
      </c>
      <c r="J12" s="52" t="s">
        <v>1295</v>
      </c>
      <c r="K12" s="52" t="s">
        <v>1309</v>
      </c>
      <c r="L12" s="52" t="s">
        <v>1310</v>
      </c>
      <c r="M12" s="52" t="s">
        <v>1220</v>
      </c>
      <c r="N12" s="52" t="s">
        <v>811</v>
      </c>
      <c r="O12" s="52" t="s">
        <v>1217</v>
      </c>
      <c r="P12" s="60"/>
      <c r="Q12" s="52">
        <v>4</v>
      </c>
      <c r="R12" s="115"/>
      <c r="S12" s="52">
        <v>0</v>
      </c>
      <c r="T12" s="115"/>
      <c r="U12" s="52" t="s">
        <v>1106</v>
      </c>
      <c r="V12" s="209">
        <v>535.55555555555554</v>
      </c>
      <c r="W12" s="52">
        <v>14</v>
      </c>
      <c r="X12" s="115"/>
      <c r="Y12" s="52" t="s">
        <v>894</v>
      </c>
      <c r="Z12" s="212">
        <v>10632284</v>
      </c>
      <c r="AA12" s="191" t="s">
        <v>932</v>
      </c>
    </row>
    <row r="13" spans="1:28" ht="33.6" customHeight="1" thickBot="1">
      <c r="A13" s="192"/>
      <c r="B13" s="65"/>
      <c r="C13" s="110">
        <v>1</v>
      </c>
      <c r="D13" s="110">
        <v>1</v>
      </c>
      <c r="E13" s="110">
        <v>1</v>
      </c>
      <c r="F13" s="110">
        <v>1</v>
      </c>
      <c r="G13" s="41">
        <v>6</v>
      </c>
      <c r="H13" s="110" cm="1">
        <f t="array" ref="H13">IFERROR(SUM($C$7:$F$7*C13:F13),"")</f>
        <v>8</v>
      </c>
      <c r="I13" s="51" t="s">
        <v>1210</v>
      </c>
      <c r="J13" s="52" t="s">
        <v>1295</v>
      </c>
      <c r="K13" s="52" t="s">
        <v>1216</v>
      </c>
      <c r="L13" s="52" t="s">
        <v>1311</v>
      </c>
      <c r="M13" s="52" t="s">
        <v>1221</v>
      </c>
      <c r="N13" s="52" t="s">
        <v>811</v>
      </c>
      <c r="O13" s="52" t="s">
        <v>1217</v>
      </c>
      <c r="P13" s="52"/>
      <c r="Q13" s="52">
        <v>4</v>
      </c>
      <c r="R13" s="113"/>
      <c r="S13" s="52">
        <v>0</v>
      </c>
      <c r="T13" s="113"/>
      <c r="U13" s="52" t="s">
        <v>1106</v>
      </c>
      <c r="V13" s="209">
        <v>264.32748538011697</v>
      </c>
      <c r="W13" s="52">
        <v>12</v>
      </c>
      <c r="X13" s="113"/>
      <c r="Y13" s="52" t="s">
        <v>894</v>
      </c>
      <c r="Z13" s="213">
        <v>10617318</v>
      </c>
      <c r="AA13" s="191" t="s">
        <v>932</v>
      </c>
    </row>
    <row r="14" spans="1:28" ht="33.75" thickBot="1">
      <c r="A14" s="192"/>
      <c r="B14" s="65"/>
      <c r="C14" s="110">
        <v>1</v>
      </c>
      <c r="D14" s="110">
        <v>1</v>
      </c>
      <c r="E14" s="110">
        <v>1</v>
      </c>
      <c r="F14" s="110">
        <v>0</v>
      </c>
      <c r="G14" s="41">
        <v>7</v>
      </c>
      <c r="H14" s="110" cm="1">
        <f t="array" ref="H14">IFERROR(SUM($C$7:$F$7*C14:F14),"")</f>
        <v>6</v>
      </c>
      <c r="I14" s="51" t="s">
        <v>1211</v>
      </c>
      <c r="J14" s="52" t="s">
        <v>1296</v>
      </c>
      <c r="K14" s="52" t="s">
        <v>1312</v>
      </c>
      <c r="L14" s="52" t="s">
        <v>1223</v>
      </c>
      <c r="M14" s="52" t="s">
        <v>1224</v>
      </c>
      <c r="N14" s="52" t="s">
        <v>811</v>
      </c>
      <c r="O14" s="52" t="s">
        <v>1217</v>
      </c>
      <c r="P14" s="57"/>
      <c r="Q14" s="52">
        <v>3</v>
      </c>
      <c r="R14" s="114"/>
      <c r="S14" s="52">
        <v>0</v>
      </c>
      <c r="T14" s="114"/>
      <c r="U14" s="52" t="s">
        <v>1106</v>
      </c>
      <c r="V14" s="209">
        <v>3711.8803594803248</v>
      </c>
      <c r="W14" s="52">
        <v>18</v>
      </c>
      <c r="X14" s="114"/>
      <c r="Y14" s="52" t="s">
        <v>894</v>
      </c>
      <c r="Z14" s="212">
        <v>10632272</v>
      </c>
      <c r="AA14" s="191" t="s">
        <v>932</v>
      </c>
    </row>
    <row r="15" spans="1:28" ht="33.75" thickBot="1">
      <c r="A15" s="192"/>
      <c r="B15" s="66" t="s">
        <v>6</v>
      </c>
      <c r="C15" s="110">
        <v>0</v>
      </c>
      <c r="D15" s="110">
        <v>0</v>
      </c>
      <c r="E15" s="110">
        <v>0</v>
      </c>
      <c r="F15" s="110">
        <v>1</v>
      </c>
      <c r="G15" s="41">
        <v>8</v>
      </c>
      <c r="H15" s="110" cm="1">
        <f t="array" ref="H15">IFERROR(SUM($C$7:$F$7*C15:F15),"")</f>
        <v>2</v>
      </c>
      <c r="I15" s="51" t="s">
        <v>1211</v>
      </c>
      <c r="J15" s="52" t="s">
        <v>1260</v>
      </c>
      <c r="K15" s="52" t="s">
        <v>1313</v>
      </c>
      <c r="L15" s="52" t="s">
        <v>1223</v>
      </c>
      <c r="M15" s="52" t="s">
        <v>1224</v>
      </c>
      <c r="N15" s="52" t="s">
        <v>811</v>
      </c>
      <c r="O15" s="52" t="s">
        <v>1217</v>
      </c>
      <c r="P15" s="57"/>
      <c r="Q15" s="52">
        <v>1</v>
      </c>
      <c r="R15" s="114"/>
      <c r="S15" s="52">
        <v>0</v>
      </c>
      <c r="T15" s="114"/>
      <c r="U15" s="52" t="s">
        <v>1106</v>
      </c>
      <c r="V15" s="209">
        <v>3711.8803594803248</v>
      </c>
      <c r="W15" s="52">
        <v>18</v>
      </c>
      <c r="X15" s="114"/>
      <c r="Y15" s="52" t="s">
        <v>894</v>
      </c>
      <c r="Z15" s="212">
        <v>10632273</v>
      </c>
      <c r="AA15" s="191" t="s">
        <v>932</v>
      </c>
    </row>
    <row r="16" spans="1:28" ht="33.75" thickBot="1">
      <c r="A16" s="192"/>
      <c r="B16" s="67" t="s">
        <v>6</v>
      </c>
      <c r="C16" s="110">
        <v>2</v>
      </c>
      <c r="D16" s="110">
        <v>2</v>
      </c>
      <c r="E16" s="110">
        <v>2</v>
      </c>
      <c r="F16" s="110">
        <v>0</v>
      </c>
      <c r="G16" s="41">
        <v>9</v>
      </c>
      <c r="H16" s="110" cm="1">
        <f t="array" ref="H16">IFERROR(SUM($C$7:$F$7*C16:F16),"")</f>
        <v>12</v>
      </c>
      <c r="I16" s="51" t="s">
        <v>1301</v>
      </c>
      <c r="J16" s="52" t="s">
        <v>1296</v>
      </c>
      <c r="K16" s="52" t="s">
        <v>1314</v>
      </c>
      <c r="L16" s="52" t="s">
        <v>1315</v>
      </c>
      <c r="M16" s="52" t="s">
        <v>1263</v>
      </c>
      <c r="N16" s="52" t="s">
        <v>811</v>
      </c>
      <c r="O16" s="52" t="s">
        <v>1217</v>
      </c>
      <c r="P16" s="57"/>
      <c r="Q16" s="52">
        <v>6</v>
      </c>
      <c r="R16" s="114"/>
      <c r="S16" s="52">
        <v>0</v>
      </c>
      <c r="T16" s="114"/>
      <c r="U16" s="52" t="s">
        <v>1106</v>
      </c>
      <c r="V16" s="209">
        <v>430.68994882207642</v>
      </c>
      <c r="W16" s="52">
        <v>18</v>
      </c>
      <c r="X16" s="114"/>
      <c r="Y16" s="52" t="s">
        <v>894</v>
      </c>
      <c r="Z16" s="212">
        <v>10632288</v>
      </c>
      <c r="AA16" s="191" t="s">
        <v>932</v>
      </c>
    </row>
    <row r="17" spans="1:27" ht="33.75" thickBot="1">
      <c r="A17" s="192"/>
      <c r="B17" s="65"/>
      <c r="C17" s="110">
        <v>1</v>
      </c>
      <c r="D17" s="110">
        <v>1</v>
      </c>
      <c r="E17" s="110">
        <v>1</v>
      </c>
      <c r="F17" s="110">
        <v>0</v>
      </c>
      <c r="G17" s="56">
        <v>10</v>
      </c>
      <c r="H17" s="110" cm="1">
        <f t="array" ref="H17">IFERROR(SUM($C$7:$F$7*C17:F17),"")</f>
        <v>6</v>
      </c>
      <c r="I17" s="51" t="s">
        <v>1302</v>
      </c>
      <c r="J17" s="52" t="s">
        <v>1296</v>
      </c>
      <c r="K17" s="52" t="s">
        <v>1316</v>
      </c>
      <c r="L17" s="52" t="s">
        <v>1317</v>
      </c>
      <c r="M17" s="52" t="s">
        <v>1220</v>
      </c>
      <c r="N17" s="52" t="s">
        <v>811</v>
      </c>
      <c r="O17" s="52" t="s">
        <v>1217</v>
      </c>
      <c r="P17" s="60"/>
      <c r="Q17" s="52">
        <v>3</v>
      </c>
      <c r="R17" s="115"/>
      <c r="S17" s="52">
        <v>0</v>
      </c>
      <c r="T17" s="115"/>
      <c r="U17" s="52" t="s">
        <v>1106</v>
      </c>
      <c r="V17" s="209">
        <v>165.68265980993215</v>
      </c>
      <c r="W17" s="52">
        <v>14</v>
      </c>
      <c r="X17" s="115"/>
      <c r="Y17" s="52" t="s">
        <v>894</v>
      </c>
      <c r="Z17" s="212">
        <v>10632278</v>
      </c>
      <c r="AA17" s="191" t="s">
        <v>932</v>
      </c>
    </row>
    <row r="18" spans="1:27" ht="33.75" thickBot="1">
      <c r="A18" s="193">
        <v>5</v>
      </c>
      <c r="B18" s="68" t="s">
        <v>25</v>
      </c>
      <c r="C18" s="110">
        <v>1</v>
      </c>
      <c r="D18" s="110">
        <v>1</v>
      </c>
      <c r="E18" s="110">
        <v>1</v>
      </c>
      <c r="F18" s="110">
        <v>1</v>
      </c>
      <c r="G18" s="41">
        <v>11</v>
      </c>
      <c r="H18" s="110" cm="1">
        <f t="array" ref="H18">IFERROR(SUM($C$7:$F$7*C18:F18),"")</f>
        <v>8</v>
      </c>
      <c r="I18" s="51" t="s">
        <v>1212</v>
      </c>
      <c r="J18" s="52" t="s">
        <v>1295</v>
      </c>
      <c r="K18" s="52" t="s">
        <v>1318</v>
      </c>
      <c r="L18" s="52" t="s">
        <v>1319</v>
      </c>
      <c r="M18" s="52" t="s">
        <v>1220</v>
      </c>
      <c r="N18" s="52" t="s">
        <v>811</v>
      </c>
      <c r="O18" s="52" t="s">
        <v>1217</v>
      </c>
      <c r="P18" s="52"/>
      <c r="Q18" s="52">
        <v>4</v>
      </c>
      <c r="R18" s="113"/>
      <c r="S18" s="52">
        <v>0</v>
      </c>
      <c r="T18" s="113"/>
      <c r="U18" s="52" t="s">
        <v>1106</v>
      </c>
      <c r="V18" s="209">
        <v>251.09834179959435</v>
      </c>
      <c r="W18" s="52">
        <v>14</v>
      </c>
      <c r="X18" s="113"/>
      <c r="Y18" s="52" t="s">
        <v>894</v>
      </c>
      <c r="Z18" s="212">
        <v>10632270</v>
      </c>
      <c r="AA18" s="191" t="s">
        <v>932</v>
      </c>
    </row>
    <row r="19" spans="1:27" ht="33.75" thickBot="1">
      <c r="A19" s="192"/>
      <c r="B19" s="69" t="s">
        <v>26</v>
      </c>
      <c r="C19" s="110">
        <v>1</v>
      </c>
      <c r="D19" s="110">
        <v>1</v>
      </c>
      <c r="E19" s="110">
        <v>1</v>
      </c>
      <c r="F19" s="110">
        <v>1</v>
      </c>
      <c r="G19" s="41">
        <v>12</v>
      </c>
      <c r="H19" s="110" cm="1">
        <f t="array" ref="H19">IFERROR(SUM($C$7:$F$7*C19:F19),"")</f>
        <v>8</v>
      </c>
      <c r="I19" s="51" t="s">
        <v>1213</v>
      </c>
      <c r="J19" s="52" t="s">
        <v>1295</v>
      </c>
      <c r="K19" s="52" t="s">
        <v>1320</v>
      </c>
      <c r="L19" s="52" t="s">
        <v>1321</v>
      </c>
      <c r="M19" s="52" t="s">
        <v>1221</v>
      </c>
      <c r="N19" s="52" t="s">
        <v>811</v>
      </c>
      <c r="O19" s="52" t="s">
        <v>1217</v>
      </c>
      <c r="P19" s="57"/>
      <c r="Q19" s="52">
        <v>4</v>
      </c>
      <c r="R19" s="114"/>
      <c r="S19" s="52">
        <v>0</v>
      </c>
      <c r="T19" s="114"/>
      <c r="U19" s="52" t="s">
        <v>1106</v>
      </c>
      <c r="V19" s="209">
        <v>51.143794749296987</v>
      </c>
      <c r="W19" s="52">
        <v>14</v>
      </c>
      <c r="X19" s="114"/>
      <c r="Y19" s="52" t="s">
        <v>894</v>
      </c>
      <c r="Z19" s="213">
        <v>10245694</v>
      </c>
      <c r="AA19" s="191" t="s">
        <v>932</v>
      </c>
    </row>
    <row r="20" spans="1:27" ht="33.75" thickBot="1">
      <c r="A20" s="192"/>
      <c r="B20" s="68" t="s">
        <v>27</v>
      </c>
      <c r="C20" s="110">
        <v>4</v>
      </c>
      <c r="D20" s="110">
        <v>4</v>
      </c>
      <c r="E20" s="110">
        <v>4</v>
      </c>
      <c r="F20" s="110">
        <v>0</v>
      </c>
      <c r="G20" s="41">
        <v>13</v>
      </c>
      <c r="H20" s="110" cm="1">
        <f t="array" ref="H20">IFERROR(SUM($C$7:$F$7*C20:F20),"")</f>
        <v>24</v>
      </c>
      <c r="I20" s="51" t="s">
        <v>1214</v>
      </c>
      <c r="J20" s="52" t="s">
        <v>1296</v>
      </c>
      <c r="K20" s="52" t="s">
        <v>1322</v>
      </c>
      <c r="L20" s="52" t="s">
        <v>1323</v>
      </c>
      <c r="M20" s="52" t="s">
        <v>1220</v>
      </c>
      <c r="N20" s="52" t="s">
        <v>811</v>
      </c>
      <c r="O20" s="52" t="s">
        <v>1217</v>
      </c>
      <c r="P20" s="57"/>
      <c r="Q20" s="52">
        <v>12</v>
      </c>
      <c r="R20" s="114"/>
      <c r="S20" s="52">
        <v>0</v>
      </c>
      <c r="T20" s="114"/>
      <c r="U20" s="52" t="s">
        <v>1106</v>
      </c>
      <c r="V20" s="209">
        <v>284.81575320633277</v>
      </c>
      <c r="W20" s="52">
        <v>12</v>
      </c>
      <c r="X20" s="114"/>
      <c r="Y20" s="52" t="s">
        <v>894</v>
      </c>
      <c r="Z20" s="212">
        <v>10632280</v>
      </c>
      <c r="AA20" s="191" t="s">
        <v>932</v>
      </c>
    </row>
    <row r="21" spans="1:27" ht="33.75" thickBot="1">
      <c r="A21" s="192"/>
      <c r="B21" s="69" t="s">
        <v>28</v>
      </c>
      <c r="C21" s="110">
        <v>1</v>
      </c>
      <c r="D21" s="110">
        <v>1</v>
      </c>
      <c r="E21" s="110">
        <v>1</v>
      </c>
      <c r="F21" s="110">
        <v>1</v>
      </c>
      <c r="G21" s="41">
        <v>14</v>
      </c>
      <c r="H21" s="110" cm="1">
        <f t="array" ref="H21">IFERROR(SUM($C$7:$F$7*C21:F21),"")</f>
        <v>8</v>
      </c>
      <c r="I21" s="51" t="s">
        <v>1214</v>
      </c>
      <c r="J21" s="52" t="s">
        <v>1295</v>
      </c>
      <c r="K21" s="52" t="s">
        <v>1324</v>
      </c>
      <c r="L21" s="52" t="s">
        <v>1325</v>
      </c>
      <c r="M21" s="52" t="s">
        <v>1220</v>
      </c>
      <c r="N21" s="52" t="s">
        <v>811</v>
      </c>
      <c r="O21" s="52" t="s">
        <v>1217</v>
      </c>
      <c r="P21" s="57"/>
      <c r="Q21" s="52">
        <v>4</v>
      </c>
      <c r="R21" s="114"/>
      <c r="S21" s="52">
        <v>0</v>
      </c>
      <c r="T21" s="114"/>
      <c r="U21" s="52" t="s">
        <v>1106</v>
      </c>
      <c r="V21" s="209">
        <v>69.758340592484586</v>
      </c>
      <c r="W21" s="52">
        <v>12</v>
      </c>
      <c r="X21" s="114"/>
      <c r="Y21" s="52" t="s">
        <v>894</v>
      </c>
      <c r="Z21" s="212">
        <v>10632281</v>
      </c>
      <c r="AA21" s="191" t="s">
        <v>932</v>
      </c>
    </row>
    <row r="22" spans="1:27" ht="33.75" thickBot="1">
      <c r="A22" s="192"/>
      <c r="B22" s="68" t="s">
        <v>29</v>
      </c>
      <c r="C22" s="110">
        <v>1</v>
      </c>
      <c r="D22" s="110">
        <v>1</v>
      </c>
      <c r="E22" s="110">
        <v>1</v>
      </c>
      <c r="F22" s="110">
        <v>0</v>
      </c>
      <c r="G22" s="56">
        <v>15</v>
      </c>
      <c r="H22" s="110" cm="1">
        <f t="array" ref="H22">IFERROR(SUM($C$7:$F$7*C22:F22),"")</f>
        <v>6</v>
      </c>
      <c r="I22" s="51" t="s">
        <v>1214</v>
      </c>
      <c r="J22" s="52" t="s">
        <v>1296</v>
      </c>
      <c r="K22" s="52" t="s">
        <v>1326</v>
      </c>
      <c r="L22" s="52" t="s">
        <v>1225</v>
      </c>
      <c r="M22" s="52" t="s">
        <v>1327</v>
      </c>
      <c r="N22" s="52" t="s">
        <v>811</v>
      </c>
      <c r="O22" s="52" t="s">
        <v>1217</v>
      </c>
      <c r="P22" s="60"/>
      <c r="Q22" s="52">
        <v>3</v>
      </c>
      <c r="R22" s="115"/>
      <c r="S22" s="52">
        <v>0</v>
      </c>
      <c r="T22" s="115"/>
      <c r="U22" s="52" t="s">
        <v>1106</v>
      </c>
      <c r="V22" s="209">
        <v>28.67167919799499</v>
      </c>
      <c r="W22" s="52">
        <v>12</v>
      </c>
      <c r="X22" s="115"/>
      <c r="Y22" s="52" t="s">
        <v>894</v>
      </c>
      <c r="Z22" s="212">
        <v>10632282</v>
      </c>
      <c r="AA22" s="191" t="s">
        <v>932</v>
      </c>
    </row>
    <row r="23" spans="1:27" ht="33.75" thickBot="1">
      <c r="A23" s="192"/>
      <c r="B23" s="69" t="s">
        <v>30</v>
      </c>
      <c r="C23" s="110">
        <v>1</v>
      </c>
      <c r="D23" s="110">
        <v>1</v>
      </c>
      <c r="E23" s="110">
        <v>1</v>
      </c>
      <c r="F23" s="110">
        <v>0</v>
      </c>
      <c r="G23" s="41">
        <v>16</v>
      </c>
      <c r="H23" s="110" cm="1">
        <f t="array" ref="H23">IFERROR(SUM($C$7:$F$7*C23:F23),"")</f>
        <v>6</v>
      </c>
      <c r="I23" s="51" t="s">
        <v>1214</v>
      </c>
      <c r="J23" s="52" t="s">
        <v>1296</v>
      </c>
      <c r="K23" s="52" t="s">
        <v>1328</v>
      </c>
      <c r="L23" s="52" t="s">
        <v>1226</v>
      </c>
      <c r="M23" s="52" t="s">
        <v>1220</v>
      </c>
      <c r="N23" s="52" t="s">
        <v>811</v>
      </c>
      <c r="O23" s="52" t="s">
        <v>1217</v>
      </c>
      <c r="P23" s="52"/>
      <c r="Q23" s="52">
        <v>3</v>
      </c>
      <c r="R23" s="113"/>
      <c r="S23" s="52">
        <v>0</v>
      </c>
      <c r="T23" s="113"/>
      <c r="U23" s="52" t="s">
        <v>1106</v>
      </c>
      <c r="V23" s="209">
        <v>373.16223603087985</v>
      </c>
      <c r="W23" s="52">
        <v>12</v>
      </c>
      <c r="X23" s="113"/>
      <c r="Y23" s="52" t="s">
        <v>894</v>
      </c>
      <c r="Z23" s="212">
        <v>10632279</v>
      </c>
      <c r="AA23" s="191" t="s">
        <v>932</v>
      </c>
    </row>
    <row r="24" spans="1:27" ht="13.5" thickBot="1">
      <c r="A24" s="192"/>
      <c r="B24" s="70" t="s">
        <v>31</v>
      </c>
      <c r="C24" s="126"/>
      <c r="D24" s="105"/>
      <c r="E24" s="105"/>
      <c r="F24" s="106"/>
      <c r="G24" s="41">
        <v>17</v>
      </c>
      <c r="H24" s="110"/>
      <c r="I24" s="51"/>
      <c r="J24" s="52"/>
      <c r="K24" s="127"/>
      <c r="L24" s="127"/>
      <c r="M24" s="125"/>
      <c r="N24" s="125"/>
      <c r="O24" s="127"/>
      <c r="P24" s="57"/>
      <c r="Q24" s="127"/>
      <c r="R24" s="114"/>
      <c r="S24" s="128"/>
      <c r="T24" s="114"/>
      <c r="U24" s="52"/>
      <c r="V24" s="52"/>
      <c r="W24" s="52"/>
      <c r="X24" s="114"/>
      <c r="Y24" s="95"/>
      <c r="Z24" s="114"/>
      <c r="AA24" s="194"/>
    </row>
    <row r="25" spans="1:27" ht="13.5" thickBot="1">
      <c r="A25" s="192"/>
      <c r="B25" s="70" t="s">
        <v>32</v>
      </c>
      <c r="C25" s="126"/>
      <c r="D25" s="105"/>
      <c r="E25" s="105"/>
      <c r="F25" s="106"/>
      <c r="G25" s="41">
        <v>18</v>
      </c>
      <c r="H25" s="110"/>
      <c r="I25" s="51"/>
      <c r="J25" s="52"/>
      <c r="K25" s="127"/>
      <c r="L25" s="127"/>
      <c r="M25" s="125"/>
      <c r="N25" s="125"/>
      <c r="O25" s="127"/>
      <c r="P25" s="57"/>
      <c r="Q25" s="127"/>
      <c r="R25" s="114"/>
      <c r="S25" s="128"/>
      <c r="T25" s="114"/>
      <c r="U25" s="129"/>
      <c r="V25" s="129"/>
      <c r="W25" s="128"/>
      <c r="X25" s="114"/>
      <c r="Y25" s="95"/>
      <c r="Z25" s="114"/>
      <c r="AA25" s="194"/>
    </row>
    <row r="26" spans="1:27" ht="13.5" thickBot="1">
      <c r="A26" s="192"/>
      <c r="B26" s="70" t="s">
        <v>6</v>
      </c>
      <c r="C26" s="126"/>
      <c r="D26" s="105"/>
      <c r="E26" s="105"/>
      <c r="F26" s="106"/>
      <c r="G26" s="41">
        <v>19</v>
      </c>
      <c r="H26" s="110"/>
      <c r="I26" s="51"/>
      <c r="J26" s="52"/>
      <c r="K26" s="127"/>
      <c r="L26" s="127"/>
      <c r="M26" s="125"/>
      <c r="N26" s="125"/>
      <c r="O26" s="127"/>
      <c r="P26" s="57"/>
      <c r="Q26" s="127"/>
      <c r="R26" s="114"/>
      <c r="S26" s="128"/>
      <c r="T26" s="114"/>
      <c r="U26" s="129"/>
      <c r="V26" s="129"/>
      <c r="W26" s="128"/>
      <c r="X26" s="114"/>
      <c r="Y26" s="95"/>
      <c r="Z26" s="114"/>
      <c r="AA26" s="194"/>
    </row>
    <row r="27" spans="1:27" ht="13.5" thickBot="1">
      <c r="A27" s="192"/>
      <c r="B27" s="64"/>
      <c r="C27" s="126"/>
      <c r="D27" s="105"/>
      <c r="E27" s="105"/>
      <c r="F27" s="106"/>
      <c r="G27" s="56">
        <v>20</v>
      </c>
      <c r="H27" s="110"/>
      <c r="I27" s="51"/>
      <c r="J27" s="52"/>
      <c r="K27" s="127"/>
      <c r="L27" s="127"/>
      <c r="M27" s="125"/>
      <c r="N27" s="125"/>
      <c r="O27" s="127"/>
      <c r="P27" s="60"/>
      <c r="Q27" s="127"/>
      <c r="R27" s="115"/>
      <c r="S27" s="128"/>
      <c r="T27" s="115"/>
      <c r="U27" s="129"/>
      <c r="V27" s="129"/>
      <c r="W27" s="128"/>
      <c r="X27" s="115"/>
      <c r="Y27" s="95"/>
      <c r="Z27" s="115"/>
      <c r="AA27" s="194"/>
    </row>
    <row r="28" spans="1:27" ht="13.5" thickBot="1">
      <c r="A28" s="192"/>
      <c r="B28" s="71"/>
      <c r="C28" s="126"/>
      <c r="D28" s="102"/>
      <c r="E28" s="102"/>
      <c r="F28" s="103"/>
      <c r="G28" s="41">
        <v>21</v>
      </c>
      <c r="H28" s="110"/>
      <c r="I28" s="51"/>
      <c r="J28" s="52"/>
      <c r="K28" s="127"/>
      <c r="L28" s="127"/>
      <c r="M28" s="125"/>
      <c r="N28" s="125"/>
      <c r="O28" s="127"/>
      <c r="P28" s="52"/>
      <c r="Q28" s="127"/>
      <c r="R28" s="113"/>
      <c r="S28" s="128"/>
      <c r="T28" s="113"/>
      <c r="U28" s="129"/>
      <c r="V28" s="129"/>
      <c r="W28" s="128"/>
      <c r="X28" s="113"/>
      <c r="Y28" s="95"/>
      <c r="Z28" s="113"/>
      <c r="AA28" s="194"/>
    </row>
    <row r="29" spans="1:27" ht="13.5" thickBot="1">
      <c r="A29" s="192"/>
      <c r="B29" s="71"/>
      <c r="C29" s="126"/>
      <c r="D29" s="105"/>
      <c r="E29" s="105"/>
      <c r="F29" s="106"/>
      <c r="G29" s="41">
        <v>22</v>
      </c>
      <c r="H29" s="110"/>
      <c r="I29" s="51"/>
      <c r="J29" s="52"/>
      <c r="K29" s="127"/>
      <c r="L29" s="127"/>
      <c r="M29" s="125"/>
      <c r="N29" s="125"/>
      <c r="O29" s="127"/>
      <c r="P29" s="57"/>
      <c r="Q29" s="127"/>
      <c r="R29" s="114"/>
      <c r="S29" s="128"/>
      <c r="T29" s="114"/>
      <c r="U29" s="129"/>
      <c r="V29" s="129"/>
      <c r="W29" s="128"/>
      <c r="X29" s="114"/>
      <c r="Y29" s="95"/>
      <c r="Z29" s="114"/>
      <c r="AA29" s="194"/>
    </row>
    <row r="30" spans="1:27" ht="13.5" thickBot="1">
      <c r="A30" s="192"/>
      <c r="B30" s="71"/>
      <c r="C30" s="126"/>
      <c r="D30" s="105"/>
      <c r="E30" s="105"/>
      <c r="F30" s="106"/>
      <c r="G30" s="41">
        <v>23</v>
      </c>
      <c r="H30" s="110"/>
      <c r="I30" s="51"/>
      <c r="J30" s="52"/>
      <c r="K30" s="127"/>
      <c r="L30" s="127"/>
      <c r="M30" s="125"/>
      <c r="N30" s="125"/>
      <c r="O30" s="127"/>
      <c r="P30" s="57"/>
      <c r="Q30" s="127"/>
      <c r="R30" s="114"/>
      <c r="S30" s="128"/>
      <c r="T30" s="114"/>
      <c r="U30" s="129"/>
      <c r="V30" s="129"/>
      <c r="W30" s="128"/>
      <c r="X30" s="114"/>
      <c r="Y30" s="95"/>
      <c r="Z30" s="114"/>
      <c r="AA30" s="194"/>
    </row>
    <row r="31" spans="1:27" ht="13.5" thickBot="1">
      <c r="A31" s="192"/>
      <c r="B31" s="71"/>
      <c r="C31" s="107"/>
      <c r="D31" s="108"/>
      <c r="E31" s="108"/>
      <c r="F31" s="109"/>
      <c r="G31" s="56">
        <v>24</v>
      </c>
      <c r="H31" s="112"/>
      <c r="I31" s="73"/>
      <c r="J31" s="60"/>
      <c r="K31" s="60"/>
      <c r="L31" s="60"/>
      <c r="M31" s="54"/>
      <c r="N31" s="54"/>
      <c r="O31" s="89"/>
      <c r="P31" s="86"/>
      <c r="Q31" s="87"/>
      <c r="R31" s="116"/>
      <c r="S31" s="86"/>
      <c r="T31" s="116"/>
      <c r="U31" s="94"/>
      <c r="V31" s="88"/>
      <c r="W31" s="100"/>
      <c r="X31" s="115"/>
      <c r="Y31" s="97"/>
      <c r="Z31" s="115"/>
      <c r="AA31" s="195"/>
    </row>
    <row r="32" spans="1:27" ht="32.65" customHeight="1" thickBot="1">
      <c r="A32" s="184" t="s">
        <v>6</v>
      </c>
      <c r="B32" s="27" t="s">
        <v>6</v>
      </c>
      <c r="C32" s="230" t="s">
        <v>1329</v>
      </c>
      <c r="D32" s="230" t="s">
        <v>1330</v>
      </c>
      <c r="E32" s="230" t="s">
        <v>1331</v>
      </c>
      <c r="F32" s="230" t="s">
        <v>1332</v>
      </c>
      <c r="G32" s="276"/>
      <c r="H32" s="232"/>
      <c r="I32" s="28" t="s">
        <v>33</v>
      </c>
      <c r="J32" s="130" t="s">
        <v>1229</v>
      </c>
      <c r="K32" s="222" t="s">
        <v>51</v>
      </c>
      <c r="L32" s="223"/>
      <c r="M32" s="223"/>
      <c r="N32" s="223"/>
      <c r="O32" s="224"/>
      <c r="P32" s="240" t="s">
        <v>1125</v>
      </c>
      <c r="Q32" s="241"/>
      <c r="R32" s="241"/>
      <c r="S32" s="241"/>
      <c r="T32" s="241"/>
      <c r="U32" s="241"/>
      <c r="V32" s="242"/>
      <c r="W32" s="29" t="s">
        <v>34</v>
      </c>
      <c r="X32" s="30"/>
      <c r="Y32" s="217" t="s">
        <v>1383</v>
      </c>
      <c r="Z32" s="218"/>
      <c r="AA32" s="219"/>
    </row>
    <row r="33" spans="1:27" ht="17.100000000000001" customHeight="1" thickTop="1" thickBot="1">
      <c r="A33" s="185"/>
      <c r="B33" s="43" t="s">
        <v>35</v>
      </c>
      <c r="C33" s="230"/>
      <c r="D33" s="230"/>
      <c r="E33" s="230"/>
      <c r="F33" s="230"/>
      <c r="G33" s="277"/>
      <c r="H33" s="233"/>
      <c r="I33" s="32" t="s">
        <v>36</v>
      </c>
      <c r="J33" s="130" t="s">
        <v>1230</v>
      </c>
      <c r="K33" s="142" t="s">
        <v>1231</v>
      </c>
      <c r="L33" s="225" t="s">
        <v>1232</v>
      </c>
      <c r="M33" s="225"/>
      <c r="N33" s="142" t="s">
        <v>1233</v>
      </c>
      <c r="O33" s="142" t="s">
        <v>1234</v>
      </c>
      <c r="P33" s="243"/>
      <c r="Q33" s="244"/>
      <c r="R33" s="244"/>
      <c r="S33" s="244"/>
      <c r="T33" s="244"/>
      <c r="U33" s="244"/>
      <c r="V33" s="245"/>
      <c r="W33" s="33" t="s">
        <v>37</v>
      </c>
      <c r="X33" s="34"/>
      <c r="Y33" s="217">
        <v>45888</v>
      </c>
      <c r="Z33" s="218"/>
      <c r="AA33" s="219"/>
    </row>
    <row r="34" spans="1:27" ht="28.5" customHeight="1" thickTop="1" thickBot="1">
      <c r="A34" s="185">
        <v>6</v>
      </c>
      <c r="B34" s="31" t="s">
        <v>49</v>
      </c>
      <c r="C34" s="230"/>
      <c r="D34" s="230"/>
      <c r="E34" s="230"/>
      <c r="F34" s="230"/>
      <c r="G34" s="277"/>
      <c r="H34" s="233"/>
      <c r="I34" s="35" t="s">
        <v>38</v>
      </c>
      <c r="J34" s="130" t="s">
        <v>1379</v>
      </c>
      <c r="K34" s="142" t="s">
        <v>1235</v>
      </c>
      <c r="L34" s="225" t="s">
        <v>1236</v>
      </c>
      <c r="M34" s="225"/>
      <c r="N34" s="142" t="s">
        <v>1237</v>
      </c>
      <c r="O34" s="142" t="s">
        <v>1238</v>
      </c>
      <c r="P34" s="243"/>
      <c r="Q34" s="244"/>
      <c r="R34" s="244"/>
      <c r="S34" s="244"/>
      <c r="T34" s="244"/>
      <c r="U34" s="244"/>
      <c r="V34" s="245"/>
      <c r="W34" s="33" t="s">
        <v>39</v>
      </c>
      <c r="X34" s="34"/>
      <c r="Y34" s="274"/>
      <c r="Z34" s="274"/>
      <c r="AA34" s="275"/>
    </row>
    <row r="35" spans="1:27" ht="17.100000000000001" customHeight="1">
      <c r="A35" s="185"/>
      <c r="B35" s="42" t="s">
        <v>48</v>
      </c>
      <c r="C35" s="230"/>
      <c r="D35" s="230"/>
      <c r="E35" s="230"/>
      <c r="F35" s="230"/>
      <c r="G35" s="277"/>
      <c r="H35" s="233"/>
      <c r="I35" s="36" t="s">
        <v>40</v>
      </c>
      <c r="J35" s="37"/>
      <c r="K35" s="142" t="s">
        <v>1239</v>
      </c>
      <c r="L35" s="142" t="s">
        <v>1240</v>
      </c>
      <c r="M35" s="142"/>
      <c r="N35" s="142" t="s">
        <v>1241</v>
      </c>
      <c r="O35" s="142" t="s">
        <v>1242</v>
      </c>
      <c r="P35" s="243"/>
      <c r="Q35" s="244"/>
      <c r="R35" s="244"/>
      <c r="S35" s="244"/>
      <c r="T35" s="244"/>
      <c r="U35" s="244"/>
      <c r="V35" s="245"/>
      <c r="W35" s="38" t="s">
        <v>41</v>
      </c>
      <c r="X35" s="39"/>
      <c r="Y35" s="200">
        <v>2</v>
      </c>
      <c r="Z35" s="201" t="s">
        <v>31</v>
      </c>
      <c r="AA35" s="202">
        <v>9</v>
      </c>
    </row>
    <row r="36" spans="1:27" ht="17.100000000000001" customHeight="1" thickBot="1">
      <c r="A36" s="186"/>
      <c r="B36" s="196" t="s">
        <v>42</v>
      </c>
      <c r="C36" s="231"/>
      <c r="D36" s="231"/>
      <c r="E36" s="231"/>
      <c r="F36" s="231"/>
      <c r="G36" s="278"/>
      <c r="H36" s="234"/>
      <c r="I36" s="180" t="s">
        <v>43</v>
      </c>
      <c r="J36" s="181"/>
      <c r="K36" s="148" t="s">
        <v>1243</v>
      </c>
      <c r="L36" s="148" t="s">
        <v>1244</v>
      </c>
      <c r="M36" s="148" t="s">
        <v>1245</v>
      </c>
      <c r="N36" s="148" t="s">
        <v>1246</v>
      </c>
      <c r="O36" s="148" t="s">
        <v>1247</v>
      </c>
      <c r="P36" s="246"/>
      <c r="Q36" s="247"/>
      <c r="R36" s="247"/>
      <c r="S36" s="247"/>
      <c r="T36" s="247"/>
      <c r="U36" s="247"/>
      <c r="V36" s="248"/>
      <c r="W36" s="182" t="s">
        <v>44</v>
      </c>
      <c r="X36" s="183"/>
      <c r="Y36" s="220">
        <v>2316054</v>
      </c>
      <c r="Z36" s="220"/>
      <c r="AA36" s="221"/>
    </row>
    <row r="37" spans="1:27" ht="17.100000000000001" customHeight="1"/>
  </sheetData>
  <sheetProtection algorithmName="SHA-512" hashValue="58T07tr9pI9XuHmhytY4iw+YKTm7kKk10MTXy7clAU1bLJNjQGDBgu0ScOjd/7r+rZyJDHC2ty4Ug4zz1XdwAg==" saltValue="I5+8BmAJ9/6f/uO2ZtpyzQ==" spinCount="100000" sheet="1" scenarios="1" formatCells="0" formatColumns="0" formatRows="0"/>
  <mergeCells count="35">
    <mergeCell ref="B1:B3"/>
    <mergeCell ref="C1:C3"/>
    <mergeCell ref="D1:D3"/>
    <mergeCell ref="E1:E3"/>
    <mergeCell ref="F1:F3"/>
    <mergeCell ref="W4:AA4"/>
    <mergeCell ref="U5:AA5"/>
    <mergeCell ref="U1:X1"/>
    <mergeCell ref="Y1:AA1"/>
    <mergeCell ref="G2:L4"/>
    <mergeCell ref="U2:W2"/>
    <mergeCell ref="X2:AA2"/>
    <mergeCell ref="U3:X3"/>
    <mergeCell ref="Y3:AA3"/>
    <mergeCell ref="G1:L1"/>
    <mergeCell ref="B4:B5"/>
    <mergeCell ref="C4:C5"/>
    <mergeCell ref="D4:D5"/>
    <mergeCell ref="E4:E5"/>
    <mergeCell ref="F4:F5"/>
    <mergeCell ref="U7:V7"/>
    <mergeCell ref="C32:C36"/>
    <mergeCell ref="D32:D36"/>
    <mergeCell ref="E32:E36"/>
    <mergeCell ref="F32:F36"/>
    <mergeCell ref="G32:G36"/>
    <mergeCell ref="H32:H36"/>
    <mergeCell ref="K32:O32"/>
    <mergeCell ref="P32:V36"/>
    <mergeCell ref="Y32:AA32"/>
    <mergeCell ref="Y33:AA33"/>
    <mergeCell ref="Y34:AA34"/>
    <mergeCell ref="Y36:AA36"/>
    <mergeCell ref="L33:M33"/>
    <mergeCell ref="L34:M34"/>
  </mergeCells>
  <dataValidations count="3">
    <dataValidation type="decimal" showInputMessage="1" showErrorMessage="1" sqref="Q8:T31" xr:uid="{00000000-0002-0000-0100-000000000000}">
      <formula1>0</formula1>
      <formula2>9999999</formula2>
    </dataValidation>
    <dataValidation showInputMessage="1" showErrorMessage="1" sqref="M8:M31" xr:uid="{00000000-0002-0000-0100-000001000000}"/>
    <dataValidation type="decimal" operator="greaterThan" showInputMessage="1" showErrorMessage="1" sqref="V8:V31" xr:uid="{00000000-0002-0000-0100-000002000000}">
      <formula1>0</formula1>
    </dataValidation>
  </dataValidations>
  <printOptions horizontalCentered="1"/>
  <pageMargins left="0" right="0" top="0.25" bottom="0.25" header="0" footer="0"/>
  <pageSetup paperSize="8" scale="86"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anchor moveWithCells="1" sizeWithCells="1">
                  <from>
                    <xdr:col>0</xdr:col>
                    <xdr:colOff>0</xdr:colOff>
                    <xdr:row>31</xdr:row>
                    <xdr:rowOff>57150</xdr:rowOff>
                  </from>
                  <to>
                    <xdr:col>0</xdr:col>
                    <xdr:colOff>0</xdr:colOff>
                    <xdr:row>36</xdr:row>
                    <xdr:rowOff>104775</xdr:rowOff>
                  </to>
                </anchor>
              </controlPr>
            </control>
          </mc:Choice>
        </mc:AlternateContent>
        <mc:AlternateContent xmlns:mc="http://schemas.openxmlformats.org/markup-compatibility/2006">
          <mc:Choice Requires="x14">
            <control shapeId="4098" r:id="rId5" name="Check Box 2">
              <controlPr locked="0" defaultSize="0" autoFill="0" autoLine="0" autoPict="0">
                <anchor moveWithCells="1">
                  <from>
                    <xdr:col>7</xdr:col>
                    <xdr:colOff>247650</xdr:colOff>
                    <xdr:row>0</xdr:row>
                    <xdr:rowOff>209550</xdr:rowOff>
                  </from>
                  <to>
                    <xdr:col>8</xdr:col>
                    <xdr:colOff>1619250</xdr:colOff>
                    <xdr:row>0</xdr:row>
                    <xdr:rowOff>342900</xdr:rowOff>
                  </to>
                </anchor>
              </controlPr>
            </control>
          </mc:Choice>
        </mc:AlternateContent>
        <mc:AlternateContent xmlns:mc="http://schemas.openxmlformats.org/markup-compatibility/2006">
          <mc:Choice Requires="x14">
            <control shapeId="4099" r:id="rId6" name="Check Box 3">
              <controlPr locked="0" defaultSize="0" autoFill="0" autoLine="0" autoPict="0">
                <anchor moveWithCells="1">
                  <from>
                    <xdr:col>7</xdr:col>
                    <xdr:colOff>247650</xdr:colOff>
                    <xdr:row>0</xdr:row>
                    <xdr:rowOff>361950</xdr:rowOff>
                  </from>
                  <to>
                    <xdr:col>8</xdr:col>
                    <xdr:colOff>1409700</xdr:colOff>
                    <xdr:row>1</xdr:row>
                    <xdr:rowOff>19050</xdr:rowOff>
                  </to>
                </anchor>
              </controlPr>
            </control>
          </mc:Choice>
        </mc:AlternateContent>
        <mc:AlternateContent xmlns:mc="http://schemas.openxmlformats.org/markup-compatibility/2006">
          <mc:Choice Requires="x14">
            <control shapeId="4100" r:id="rId7" name="Check Box 4">
              <controlPr locked="0" defaultSize="0" autoFill="0" autoLine="0" autoPict="0">
                <anchor moveWithCells="1">
                  <from>
                    <xdr:col>9</xdr:col>
                    <xdr:colOff>38100</xdr:colOff>
                    <xdr:row>0</xdr:row>
                    <xdr:rowOff>180975</xdr:rowOff>
                  </from>
                  <to>
                    <xdr:col>9</xdr:col>
                    <xdr:colOff>1200150</xdr:colOff>
                    <xdr:row>0</xdr:row>
                    <xdr:rowOff>361950</xdr:rowOff>
                  </to>
                </anchor>
              </controlPr>
            </control>
          </mc:Choice>
        </mc:AlternateContent>
        <mc:AlternateContent xmlns:mc="http://schemas.openxmlformats.org/markup-compatibility/2006">
          <mc:Choice Requires="x14">
            <control shapeId="4101" r:id="rId8" name="Check Box 5">
              <controlPr locked="0" defaultSize="0" autoFill="0" autoLine="0" autoPict="0">
                <anchor moveWithCells="1">
                  <from>
                    <xdr:col>9</xdr:col>
                    <xdr:colOff>38100</xdr:colOff>
                    <xdr:row>0</xdr:row>
                    <xdr:rowOff>361950</xdr:rowOff>
                  </from>
                  <to>
                    <xdr:col>10</xdr:col>
                    <xdr:colOff>95250</xdr:colOff>
                    <xdr:row>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00000000-0002-0000-0100-000003000000}">
          <x14:formula1>
            <xm:f>'Validation Lists'!$P$2:$P$62</xm:f>
          </x14:formula1>
          <xm:sqref>N8</xm:sqref>
        </x14:dataValidation>
        <x14:dataValidation type="list" operator="greaterThan" showDropDown="1" showInputMessage="1" showErrorMessage="1" xr:uid="{00000000-0002-0000-0100-000004000000}">
          <x14:formula1>
            <xm:f>'Validation Lists'!$E$2:$E$501</xm:f>
          </x14:formula1>
          <xm:sqref>W8:W31</xm:sqref>
        </x14:dataValidation>
        <x14:dataValidation type="list" showInputMessage="1" showErrorMessage="1" xr:uid="{00000000-0002-0000-0100-000005000000}">
          <x14:formula1>
            <xm:f>'Validation Lists'!$G$2:$G$189</xm:f>
          </x14:formula1>
          <xm:sqref>U8:U31</xm:sqref>
        </x14:dataValidation>
        <x14:dataValidation type="list" showInputMessage="1" showErrorMessage="1" xr:uid="{00000000-0002-0000-0100-000006000000}">
          <x14:formula1>
            <xm:f>'Validation Lists'!$P$2:$P$35</xm:f>
          </x14:formula1>
          <xm:sqref>N9:N31</xm:sqref>
        </x14:dataValidation>
        <x14:dataValidation type="list" allowBlank="1" showInputMessage="1" showErrorMessage="1" xr:uid="{00000000-0002-0000-0100-000007000000}">
          <x14:formula1>
            <xm:f>'Validation Lists'!$C$2:$C$6</xm:f>
          </x14:formula1>
          <xm:sqref>AA8:AA31</xm:sqref>
        </x14:dataValidation>
        <x14:dataValidation type="list" showInputMessage="1" showErrorMessage="1" xr:uid="{00000000-0002-0000-0100-000008000000}">
          <x14:formula1>
            <xm:f>'Validation Lists'!$J$3:$J$50</xm:f>
          </x14:formula1>
          <xm:sqref>Y8:Y31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B37"/>
  <sheetViews>
    <sheetView showGridLines="0" view="pageBreakPreview" topLeftCell="A15" zoomScale="85" zoomScaleNormal="100" zoomScaleSheetLayoutView="85" workbookViewId="0">
      <selection activeCell="B22" sqref="B22"/>
    </sheetView>
  </sheetViews>
  <sheetFormatPr defaultRowHeight="12.75"/>
  <cols>
    <col min="1" max="1" width="1.7109375" customWidth="1"/>
    <col min="2" max="2" width="3.7109375" customWidth="1"/>
    <col min="3" max="7" width="2.7109375" customWidth="1"/>
    <col min="8" max="8" width="3.7109375" customWidth="1"/>
    <col min="9" max="9" width="25.7109375" customWidth="1"/>
    <col min="10" max="10" width="20.42578125" customWidth="1"/>
    <col min="11" max="11" width="8.7109375" customWidth="1"/>
    <col min="12" max="12" width="12.28515625" customWidth="1"/>
    <col min="13" max="13" width="8.7109375" customWidth="1"/>
    <col min="14" max="14" width="25.7109375" customWidth="1"/>
    <col min="15" max="15" width="18" customWidth="1"/>
    <col min="16" max="16" width="28.7109375" customWidth="1"/>
    <col min="17" max="19" width="3.7109375" customWidth="1"/>
    <col min="20" max="20" width="3.5703125" customWidth="1"/>
    <col min="21" max="21" width="4.5703125" customWidth="1"/>
    <col min="22" max="22" width="6.7109375" bestFit="1" customWidth="1"/>
    <col min="23" max="23" width="3.7109375" customWidth="1"/>
    <col min="24" max="24" width="4.7109375" customWidth="1"/>
    <col min="25" max="25" width="17.42578125" customWidth="1"/>
    <col min="26" max="26" width="12.7109375" customWidth="1"/>
    <col min="27" max="27" width="5.7109375" customWidth="1"/>
    <col min="28" max="28" width="10" hidden="1" customWidth="1"/>
  </cols>
  <sheetData>
    <row r="1" spans="1:28" ht="45.75" customHeight="1" thickBot="1">
      <c r="A1" s="184"/>
      <c r="B1" s="279" t="s">
        <v>493</v>
      </c>
      <c r="C1" s="252" t="s">
        <v>1393</v>
      </c>
      <c r="D1" s="252" t="s">
        <v>1394</v>
      </c>
      <c r="E1" s="252" t="s">
        <v>1395</v>
      </c>
      <c r="F1" s="252" t="s">
        <v>1396</v>
      </c>
      <c r="G1" s="260" t="s">
        <v>55</v>
      </c>
      <c r="H1" s="261"/>
      <c r="I1" s="261"/>
      <c r="J1" s="261"/>
      <c r="K1" s="261"/>
      <c r="L1" s="262"/>
      <c r="M1" s="156" t="s">
        <v>54</v>
      </c>
      <c r="N1" s="157"/>
      <c r="O1" s="158"/>
      <c r="P1" s="158"/>
      <c r="Q1" s="158"/>
      <c r="R1" s="158"/>
      <c r="S1" s="158"/>
      <c r="T1" s="159"/>
      <c r="U1" s="258" t="s">
        <v>53</v>
      </c>
      <c r="V1" s="259"/>
      <c r="W1" s="259"/>
      <c r="X1" s="259"/>
      <c r="Y1" s="263" t="s">
        <v>1227</v>
      </c>
      <c r="Z1" s="263"/>
      <c r="AA1" s="264"/>
    </row>
    <row r="2" spans="1:28" ht="15.6" customHeight="1" thickBot="1">
      <c r="A2" s="185">
        <v>1</v>
      </c>
      <c r="B2" s="281"/>
      <c r="C2" s="253"/>
      <c r="D2" s="253"/>
      <c r="E2" s="253"/>
      <c r="F2" s="253"/>
      <c r="G2" s="265" t="s">
        <v>734</v>
      </c>
      <c r="H2" s="266"/>
      <c r="I2" s="266"/>
      <c r="J2" s="266"/>
      <c r="K2" s="266"/>
      <c r="L2" s="267"/>
      <c r="M2" s="3" t="s">
        <v>0</v>
      </c>
      <c r="N2" s="117"/>
      <c r="O2" s="82" t="s">
        <v>47</v>
      </c>
      <c r="P2" s="82"/>
      <c r="Q2" s="4"/>
      <c r="R2" s="4"/>
      <c r="S2" s="4"/>
      <c r="T2" s="5"/>
      <c r="U2" s="256" t="s">
        <v>1</v>
      </c>
      <c r="V2" s="257"/>
      <c r="W2" s="257"/>
      <c r="X2" s="263" t="s">
        <v>1228</v>
      </c>
      <c r="Y2" s="263"/>
      <c r="Z2" s="263"/>
      <c r="AA2" s="264"/>
      <c r="AB2" s="62" t="b">
        <v>0</v>
      </c>
    </row>
    <row r="3" spans="1:28" ht="22.5" customHeight="1" thickBot="1">
      <c r="A3" s="186"/>
      <c r="B3" s="280"/>
      <c r="C3" s="253"/>
      <c r="D3" s="253"/>
      <c r="E3" s="253"/>
      <c r="F3" s="253"/>
      <c r="G3" s="268"/>
      <c r="H3" s="269"/>
      <c r="I3" s="269"/>
      <c r="J3" s="269"/>
      <c r="K3" s="269"/>
      <c r="L3" s="270"/>
      <c r="M3" s="7" t="s">
        <v>2</v>
      </c>
      <c r="N3" s="118"/>
      <c r="O3" s="118"/>
      <c r="P3" s="118"/>
      <c r="Q3" s="118"/>
      <c r="R3" s="118"/>
      <c r="S3" s="118"/>
      <c r="T3" s="119"/>
      <c r="U3" s="254" t="s">
        <v>3</v>
      </c>
      <c r="V3" s="255"/>
      <c r="W3" s="255"/>
      <c r="X3" s="255"/>
      <c r="Y3" s="263" t="s">
        <v>1217</v>
      </c>
      <c r="Z3" s="263"/>
      <c r="AA3" s="264"/>
      <c r="AB3" s="62" t="b">
        <v>1</v>
      </c>
    </row>
    <row r="4" spans="1:28" ht="41.65" customHeight="1" thickBot="1">
      <c r="A4" s="184"/>
      <c r="B4" s="279" t="s">
        <v>494</v>
      </c>
      <c r="C4" s="253" t="s">
        <v>1249</v>
      </c>
      <c r="D4" s="253" t="s">
        <v>1333</v>
      </c>
      <c r="E4" s="253" t="s">
        <v>1248</v>
      </c>
      <c r="F4" s="253" t="s">
        <v>1248</v>
      </c>
      <c r="G4" s="271"/>
      <c r="H4" s="272"/>
      <c r="I4" s="272"/>
      <c r="J4" s="272"/>
      <c r="K4" s="272"/>
      <c r="L4" s="273"/>
      <c r="M4" s="9" t="s">
        <v>4</v>
      </c>
      <c r="N4" s="120"/>
      <c r="O4" s="120"/>
      <c r="P4" s="120"/>
      <c r="Q4" s="120"/>
      <c r="R4" s="120"/>
      <c r="S4" s="120"/>
      <c r="T4" s="121"/>
      <c r="U4" s="143" t="s">
        <v>5</v>
      </c>
      <c r="V4" s="124"/>
      <c r="W4" s="263" t="s">
        <v>1217</v>
      </c>
      <c r="X4" s="263"/>
      <c r="Y4" s="263"/>
      <c r="Z4" s="263"/>
      <c r="AA4" s="264"/>
      <c r="AB4" s="62" t="b">
        <v>0</v>
      </c>
    </row>
    <row r="5" spans="1:28" ht="27" customHeight="1" thickBot="1">
      <c r="A5" s="187">
        <v>2</v>
      </c>
      <c r="B5" s="280"/>
      <c r="C5" s="253"/>
      <c r="D5" s="253"/>
      <c r="E5" s="253"/>
      <c r="F5" s="253"/>
      <c r="G5" s="11"/>
      <c r="H5" s="12" t="s">
        <v>6</v>
      </c>
      <c r="I5" s="13" t="s">
        <v>7</v>
      </c>
      <c r="J5" s="14"/>
      <c r="K5" s="14"/>
      <c r="L5" s="14"/>
      <c r="M5" s="14"/>
      <c r="N5" s="14"/>
      <c r="O5" s="15"/>
      <c r="P5" s="85"/>
      <c r="Q5" s="16" t="s">
        <v>8</v>
      </c>
      <c r="R5" s="17"/>
      <c r="S5" s="18" t="s">
        <v>9</v>
      </c>
      <c r="T5" s="19"/>
      <c r="U5" s="235" t="s">
        <v>50</v>
      </c>
      <c r="V5" s="236"/>
      <c r="W5" s="236"/>
      <c r="X5" s="236"/>
      <c r="Y5" s="236"/>
      <c r="Z5" s="236"/>
      <c r="AA5" s="237"/>
      <c r="AB5" s="62" t="b">
        <v>0</v>
      </c>
    </row>
    <row r="6" spans="1:28" ht="43.15" customHeight="1" thickBot="1">
      <c r="A6" s="188">
        <v>3</v>
      </c>
      <c r="B6" s="83" t="s">
        <v>10</v>
      </c>
      <c r="C6" s="135" t="s">
        <v>1334</v>
      </c>
      <c r="D6" s="135" t="s">
        <v>1335</v>
      </c>
      <c r="E6" s="135" t="s">
        <v>1336</v>
      </c>
      <c r="F6" s="135" t="s">
        <v>1337</v>
      </c>
      <c r="G6" s="21" t="s">
        <v>11</v>
      </c>
      <c r="H6" s="211" t="s">
        <v>12</v>
      </c>
      <c r="I6" s="45" t="s">
        <v>13</v>
      </c>
      <c r="J6" s="22" t="s">
        <v>14</v>
      </c>
      <c r="K6" s="76" t="s">
        <v>15</v>
      </c>
      <c r="L6" s="75" t="s">
        <v>16</v>
      </c>
      <c r="M6" s="77" t="s">
        <v>732</v>
      </c>
      <c r="N6" s="77" t="s">
        <v>733</v>
      </c>
      <c r="O6" s="75" t="s">
        <v>838</v>
      </c>
      <c r="P6" s="75" t="s">
        <v>839</v>
      </c>
      <c r="Q6" s="78" t="s">
        <v>17</v>
      </c>
      <c r="R6" s="79" t="s">
        <v>18</v>
      </c>
      <c r="S6" s="78" t="s">
        <v>17</v>
      </c>
      <c r="T6" s="79" t="s">
        <v>19</v>
      </c>
      <c r="U6" s="80" t="s">
        <v>841</v>
      </c>
      <c r="V6" s="80" t="s">
        <v>840</v>
      </c>
      <c r="W6" s="80" t="s">
        <v>20</v>
      </c>
      <c r="X6" s="81" t="s">
        <v>52</v>
      </c>
      <c r="Y6" s="80" t="s">
        <v>21</v>
      </c>
      <c r="Z6" s="23" t="s">
        <v>45</v>
      </c>
      <c r="AA6" s="161" t="s">
        <v>46</v>
      </c>
    </row>
    <row r="7" spans="1:28" ht="13.15" customHeight="1" thickBot="1">
      <c r="A7" s="189">
        <v>4</v>
      </c>
      <c r="B7" s="84" t="s">
        <v>22</v>
      </c>
      <c r="C7" s="137">
        <v>2</v>
      </c>
      <c r="D7" s="137">
        <v>2</v>
      </c>
      <c r="E7" s="137">
        <v>2</v>
      </c>
      <c r="F7" s="137">
        <v>2</v>
      </c>
      <c r="G7" s="24"/>
      <c r="H7" s="44">
        <v>7</v>
      </c>
      <c r="I7" s="44">
        <v>8</v>
      </c>
      <c r="J7" s="25">
        <v>9</v>
      </c>
      <c r="K7" s="44" t="s">
        <v>23</v>
      </c>
      <c r="L7" s="25" t="s">
        <v>24</v>
      </c>
      <c r="M7" s="44" t="s">
        <v>730</v>
      </c>
      <c r="N7" s="44" t="s">
        <v>731</v>
      </c>
      <c r="O7" s="44" t="s">
        <v>836</v>
      </c>
      <c r="P7" s="98" t="s">
        <v>837</v>
      </c>
      <c r="Q7" s="44">
        <v>13</v>
      </c>
      <c r="R7" s="26">
        <v>14</v>
      </c>
      <c r="S7" s="44">
        <v>15</v>
      </c>
      <c r="T7" s="26">
        <v>16</v>
      </c>
      <c r="U7" s="238">
        <v>17</v>
      </c>
      <c r="V7" s="239"/>
      <c r="W7" s="44">
        <v>18</v>
      </c>
      <c r="X7" s="26">
        <v>19</v>
      </c>
      <c r="Y7" s="44">
        <v>20</v>
      </c>
      <c r="Z7" s="26">
        <v>21</v>
      </c>
      <c r="AA7" s="163">
        <v>22</v>
      </c>
    </row>
    <row r="8" spans="1:28" ht="27.6" customHeight="1" thickBot="1">
      <c r="A8" s="190"/>
      <c r="B8" s="63"/>
      <c r="C8" s="110">
        <v>0</v>
      </c>
      <c r="D8" s="110">
        <v>0</v>
      </c>
      <c r="E8" s="110">
        <v>1</v>
      </c>
      <c r="F8" s="110">
        <v>1</v>
      </c>
      <c r="G8" s="41">
        <v>1</v>
      </c>
      <c r="H8" s="110" cm="1">
        <f t="array" ref="H8">IFERROR(SUM($C$7:$F$7*C8:F8),"")</f>
        <v>4</v>
      </c>
      <c r="I8" s="139" t="s">
        <v>1254</v>
      </c>
      <c r="J8" s="110" t="s">
        <v>1343</v>
      </c>
      <c r="K8" s="110" t="s">
        <v>1261</v>
      </c>
      <c r="L8" s="110" t="s">
        <v>1262</v>
      </c>
      <c r="M8" s="110" t="s">
        <v>1263</v>
      </c>
      <c r="N8" s="110" t="s">
        <v>811</v>
      </c>
      <c r="O8" s="110" t="s">
        <v>1217</v>
      </c>
      <c r="P8" s="52"/>
      <c r="Q8" s="110">
        <v>2</v>
      </c>
      <c r="R8" s="113"/>
      <c r="S8" s="110">
        <v>0</v>
      </c>
      <c r="T8" s="113"/>
      <c r="U8" s="110" t="s">
        <v>1106</v>
      </c>
      <c r="V8" s="207">
        <v>13474.04498470842</v>
      </c>
      <c r="W8" s="110">
        <v>22</v>
      </c>
      <c r="X8" s="113"/>
      <c r="Y8" s="110" t="s">
        <v>894</v>
      </c>
      <c r="Z8" s="213">
        <v>80012204</v>
      </c>
      <c r="AA8" s="197" t="s">
        <v>932</v>
      </c>
    </row>
    <row r="9" spans="1:28" ht="27" customHeight="1" thickBot="1">
      <c r="A9" s="192"/>
      <c r="B9" s="64"/>
      <c r="C9" s="110">
        <v>0</v>
      </c>
      <c r="D9" s="110">
        <v>0</v>
      </c>
      <c r="E9" s="110">
        <v>1</v>
      </c>
      <c r="F9" s="110">
        <v>1</v>
      </c>
      <c r="G9" s="41">
        <v>2</v>
      </c>
      <c r="H9" s="110" cm="1">
        <f t="array" ref="H9">IFERROR(SUM($C$7:$F$7*C9:F9),"")</f>
        <v>4</v>
      </c>
      <c r="I9" s="139" t="s">
        <v>1205</v>
      </c>
      <c r="J9" s="110" t="s">
        <v>1343</v>
      </c>
      <c r="K9" s="110" t="s">
        <v>1264</v>
      </c>
      <c r="L9" s="110" t="s">
        <v>1218</v>
      </c>
      <c r="M9" s="110" t="s">
        <v>1219</v>
      </c>
      <c r="N9" s="110" t="s">
        <v>811</v>
      </c>
      <c r="O9" s="110" t="s">
        <v>1217</v>
      </c>
      <c r="P9" s="57"/>
      <c r="Q9" s="110">
        <v>2</v>
      </c>
      <c r="R9" s="114"/>
      <c r="S9" s="110">
        <v>0</v>
      </c>
      <c r="T9" s="114"/>
      <c r="U9" s="110" t="s">
        <v>1106</v>
      </c>
      <c r="V9" s="207">
        <v>42341.719583165301</v>
      </c>
      <c r="W9" s="110">
        <v>22</v>
      </c>
      <c r="X9" s="114"/>
      <c r="Y9" s="110" t="s">
        <v>894</v>
      </c>
      <c r="Z9" s="213">
        <v>80012199</v>
      </c>
      <c r="AA9" s="197" t="s">
        <v>932</v>
      </c>
    </row>
    <row r="10" spans="1:28" ht="33.75" thickBot="1">
      <c r="A10" s="192"/>
      <c r="B10" s="65"/>
      <c r="C10" s="110">
        <v>0</v>
      </c>
      <c r="D10" s="110">
        <v>1</v>
      </c>
      <c r="E10" s="110">
        <v>0</v>
      </c>
      <c r="F10" s="110">
        <v>0</v>
      </c>
      <c r="G10" s="41">
        <v>3</v>
      </c>
      <c r="H10" s="110" cm="1">
        <f t="array" ref="H10">IFERROR(SUM($C$7:$F$7*C10:F10),"")</f>
        <v>2</v>
      </c>
      <c r="I10" s="139" t="s">
        <v>1205</v>
      </c>
      <c r="J10" s="110" t="s">
        <v>1338</v>
      </c>
      <c r="K10" s="110" t="s">
        <v>1339</v>
      </c>
      <c r="L10" s="110" t="s">
        <v>1218</v>
      </c>
      <c r="M10" s="110" t="s">
        <v>1219</v>
      </c>
      <c r="N10" s="110" t="s">
        <v>811</v>
      </c>
      <c r="O10" s="110" t="s">
        <v>1217</v>
      </c>
      <c r="P10" s="60"/>
      <c r="Q10" s="110">
        <v>1</v>
      </c>
      <c r="R10" s="114"/>
      <c r="S10" s="110">
        <v>0</v>
      </c>
      <c r="T10" s="114"/>
      <c r="U10" s="110" t="s">
        <v>1106</v>
      </c>
      <c r="V10" s="207">
        <v>42341.719583165301</v>
      </c>
      <c r="W10" s="110">
        <v>22</v>
      </c>
      <c r="X10" s="114"/>
      <c r="Y10" s="110" t="s">
        <v>894</v>
      </c>
      <c r="Z10" s="212">
        <v>80012201</v>
      </c>
      <c r="AA10" s="197" t="s">
        <v>932</v>
      </c>
    </row>
    <row r="11" spans="1:28" ht="33.75" thickBot="1">
      <c r="A11" s="192"/>
      <c r="B11" s="65"/>
      <c r="C11" s="110">
        <v>1</v>
      </c>
      <c r="D11" s="110">
        <v>0</v>
      </c>
      <c r="E11" s="110">
        <v>0</v>
      </c>
      <c r="F11" s="110">
        <v>0</v>
      </c>
      <c r="G11" s="41">
        <v>4</v>
      </c>
      <c r="H11" s="110" cm="1">
        <f t="array" ref="H11">IFERROR(SUM($C$7:$F$7*C11:F11),"")</f>
        <v>2</v>
      </c>
      <c r="I11" s="139" t="s">
        <v>1205</v>
      </c>
      <c r="J11" s="110" t="s">
        <v>1340</v>
      </c>
      <c r="K11" s="110" t="s">
        <v>1265</v>
      </c>
      <c r="L11" s="110" t="s">
        <v>1218</v>
      </c>
      <c r="M11" s="110" t="s">
        <v>1219</v>
      </c>
      <c r="N11" s="110" t="s">
        <v>811</v>
      </c>
      <c r="O11" s="110" t="s">
        <v>1217</v>
      </c>
      <c r="P11" s="52"/>
      <c r="Q11" s="110">
        <v>1</v>
      </c>
      <c r="R11" s="115"/>
      <c r="S11" s="110">
        <v>0</v>
      </c>
      <c r="T11" s="115"/>
      <c r="U11" s="110" t="s">
        <v>1106</v>
      </c>
      <c r="V11" s="207">
        <v>35975.726819438707</v>
      </c>
      <c r="W11" s="110">
        <v>22</v>
      </c>
      <c r="X11" s="115"/>
      <c r="Y11" s="110" t="s">
        <v>894</v>
      </c>
      <c r="Z11" s="213">
        <v>80012202</v>
      </c>
      <c r="AA11" s="197" t="s">
        <v>932</v>
      </c>
    </row>
    <row r="12" spans="1:28" ht="32.450000000000003" customHeight="1" thickBot="1">
      <c r="A12" s="192"/>
      <c r="B12" s="65"/>
      <c r="C12" s="110">
        <v>2</v>
      </c>
      <c r="D12" s="110">
        <v>2</v>
      </c>
      <c r="E12" s="110">
        <v>2</v>
      </c>
      <c r="F12" s="110">
        <v>2</v>
      </c>
      <c r="G12" s="56">
        <v>5</v>
      </c>
      <c r="H12" s="110" cm="1">
        <f t="array" ref="H12">IFERROR(SUM($C$7:$F$7*C12:F12),"")</f>
        <v>16</v>
      </c>
      <c r="I12" s="139" t="s">
        <v>1381</v>
      </c>
      <c r="J12" s="110" t="s">
        <v>1342</v>
      </c>
      <c r="K12" s="110" t="s">
        <v>1266</v>
      </c>
      <c r="L12" s="110" t="s">
        <v>1267</v>
      </c>
      <c r="M12" s="110" t="s">
        <v>1220</v>
      </c>
      <c r="N12" s="110" t="s">
        <v>811</v>
      </c>
      <c r="O12" s="110" t="s">
        <v>1217</v>
      </c>
      <c r="P12" s="57"/>
      <c r="Q12" s="110">
        <v>8</v>
      </c>
      <c r="R12" s="115"/>
      <c r="S12" s="110">
        <v>0</v>
      </c>
      <c r="T12" s="115"/>
      <c r="U12" s="110" t="s">
        <v>1106</v>
      </c>
      <c r="V12" s="207">
        <v>42796.412636008805</v>
      </c>
      <c r="W12" s="110">
        <v>22</v>
      </c>
      <c r="X12" s="115"/>
      <c r="Y12" s="110" t="s">
        <v>894</v>
      </c>
      <c r="Z12" s="213">
        <v>10049151</v>
      </c>
      <c r="AA12" s="197" t="s">
        <v>932</v>
      </c>
    </row>
    <row r="13" spans="1:28" ht="33.75" thickBot="1">
      <c r="A13" s="192"/>
      <c r="B13" s="65"/>
      <c r="C13" s="110">
        <v>0</v>
      </c>
      <c r="D13" s="110">
        <v>0</v>
      </c>
      <c r="E13" s="110">
        <v>3</v>
      </c>
      <c r="F13" s="110">
        <v>3</v>
      </c>
      <c r="G13" s="41">
        <v>6</v>
      </c>
      <c r="H13" s="110" cm="1">
        <f t="array" ref="H13">IFERROR(SUM($C$7:$F$7*C13:F13),"")</f>
        <v>12</v>
      </c>
      <c r="I13" s="139" t="s">
        <v>1255</v>
      </c>
      <c r="J13" s="110" t="s">
        <v>1343</v>
      </c>
      <c r="K13" s="110" t="s">
        <v>1268</v>
      </c>
      <c r="L13" s="110" t="s">
        <v>1269</v>
      </c>
      <c r="M13" s="110" t="s">
        <v>1270</v>
      </c>
      <c r="N13" s="110" t="s">
        <v>811</v>
      </c>
      <c r="O13" s="110" t="s">
        <v>1217</v>
      </c>
      <c r="P13" s="57"/>
      <c r="Q13" s="110">
        <v>12</v>
      </c>
      <c r="R13" s="113"/>
      <c r="S13" s="110">
        <v>0</v>
      </c>
      <c r="T13" s="113"/>
      <c r="U13" s="110" t="s">
        <v>1106</v>
      </c>
      <c r="V13" s="207">
        <v>2511.0626288293192</v>
      </c>
      <c r="W13" s="110">
        <v>16</v>
      </c>
      <c r="X13" s="113"/>
      <c r="Y13" s="110" t="s">
        <v>894</v>
      </c>
      <c r="Z13" s="213">
        <v>10632274</v>
      </c>
      <c r="AA13" s="197" t="s">
        <v>932</v>
      </c>
    </row>
    <row r="14" spans="1:28" ht="36" customHeight="1" thickBot="1">
      <c r="A14" s="192"/>
      <c r="B14" s="65"/>
      <c r="C14" s="110">
        <v>0</v>
      </c>
      <c r="D14" s="110">
        <v>0</v>
      </c>
      <c r="E14" s="110">
        <v>1</v>
      </c>
      <c r="F14" s="110">
        <v>1</v>
      </c>
      <c r="G14" s="41">
        <v>7</v>
      </c>
      <c r="H14" s="110" cm="1">
        <f t="array" ref="H14">IFERROR(SUM($C$7:$F$7*C14:F14),"")</f>
        <v>4</v>
      </c>
      <c r="I14" s="139" t="s">
        <v>1255</v>
      </c>
      <c r="J14" s="110" t="s">
        <v>1343</v>
      </c>
      <c r="K14" s="110" t="s">
        <v>1268</v>
      </c>
      <c r="L14" s="110" t="s">
        <v>1271</v>
      </c>
      <c r="M14" s="110" t="s">
        <v>1270</v>
      </c>
      <c r="N14" s="110" t="s">
        <v>811</v>
      </c>
      <c r="O14" s="110" t="s">
        <v>1217</v>
      </c>
      <c r="P14" s="57"/>
      <c r="Q14" s="110">
        <v>4</v>
      </c>
      <c r="R14" s="114"/>
      <c r="S14" s="110">
        <v>0</v>
      </c>
      <c r="T14" s="114"/>
      <c r="U14" s="110" t="s">
        <v>1106</v>
      </c>
      <c r="V14" s="207">
        <v>39.763838354383715</v>
      </c>
      <c r="W14" s="110">
        <v>12</v>
      </c>
      <c r="X14" s="114"/>
      <c r="Y14" s="110" t="s">
        <v>894</v>
      </c>
      <c r="Z14" s="213">
        <v>10632274</v>
      </c>
      <c r="AA14" s="197" t="s">
        <v>932</v>
      </c>
    </row>
    <row r="15" spans="1:28" ht="33.75" thickBot="1">
      <c r="A15" s="192"/>
      <c r="B15" s="66" t="s">
        <v>6</v>
      </c>
      <c r="C15" s="110">
        <v>0</v>
      </c>
      <c r="D15" s="110">
        <v>0</v>
      </c>
      <c r="E15" s="110">
        <v>1</v>
      </c>
      <c r="F15" s="110">
        <v>1</v>
      </c>
      <c r="G15" s="41">
        <v>8</v>
      </c>
      <c r="H15" s="110" cm="1">
        <f t="array" ref="H15">IFERROR(SUM($C$7:$F$7*C15:F15),"")</f>
        <v>4</v>
      </c>
      <c r="I15" s="139" t="s">
        <v>1255</v>
      </c>
      <c r="J15" s="110" t="s">
        <v>1343</v>
      </c>
      <c r="K15" s="110" t="s">
        <v>1272</v>
      </c>
      <c r="L15" s="110" t="s">
        <v>1273</v>
      </c>
      <c r="M15" s="110" t="s">
        <v>1270</v>
      </c>
      <c r="N15" s="110" t="s">
        <v>811</v>
      </c>
      <c r="O15" s="110" t="s">
        <v>1217</v>
      </c>
      <c r="P15" s="57"/>
      <c r="Q15" s="110">
        <v>4</v>
      </c>
      <c r="R15" s="114"/>
      <c r="S15" s="110">
        <v>0</v>
      </c>
      <c r="T15" s="114"/>
      <c r="U15" s="110" t="s">
        <v>1106</v>
      </c>
      <c r="V15" s="207">
        <v>39.763838354383715</v>
      </c>
      <c r="W15" s="110">
        <v>12</v>
      </c>
      <c r="X15" s="114"/>
      <c r="Y15" s="110" t="s">
        <v>894</v>
      </c>
      <c r="Z15" s="213">
        <v>10632276</v>
      </c>
      <c r="AA15" s="197" t="s">
        <v>932</v>
      </c>
    </row>
    <row r="16" spans="1:28" ht="33.75" thickBot="1">
      <c r="A16" s="192"/>
      <c r="B16" s="67" t="s">
        <v>6</v>
      </c>
      <c r="C16" s="110">
        <v>0</v>
      </c>
      <c r="D16" s="110">
        <v>0</v>
      </c>
      <c r="E16" s="110">
        <v>1</v>
      </c>
      <c r="F16" s="110">
        <v>1</v>
      </c>
      <c r="G16" s="41">
        <v>9</v>
      </c>
      <c r="H16" s="110" cm="1">
        <f t="array" ref="H16">IFERROR(SUM($C$7:$F$7*C16:F16),"")</f>
        <v>4</v>
      </c>
      <c r="I16" s="139" t="s">
        <v>1255</v>
      </c>
      <c r="J16" s="110" t="s">
        <v>1343</v>
      </c>
      <c r="K16" s="110" t="s">
        <v>1274</v>
      </c>
      <c r="L16" s="110" t="s">
        <v>1275</v>
      </c>
      <c r="M16" s="110" t="s">
        <v>1270</v>
      </c>
      <c r="N16" s="110" t="s">
        <v>811</v>
      </c>
      <c r="O16" s="110" t="s">
        <v>1217</v>
      </c>
      <c r="P16" s="57"/>
      <c r="Q16" s="110">
        <v>4</v>
      </c>
      <c r="R16" s="114"/>
      <c r="S16" s="110">
        <v>0</v>
      </c>
      <c r="T16" s="114"/>
      <c r="U16" s="110" t="s">
        <v>1106</v>
      </c>
      <c r="V16" s="207">
        <v>289.43638515322334</v>
      </c>
      <c r="W16" s="110">
        <v>12</v>
      </c>
      <c r="X16" s="114"/>
      <c r="Y16" s="110" t="s">
        <v>894</v>
      </c>
      <c r="Z16" s="213">
        <v>10632275</v>
      </c>
      <c r="AA16" s="197" t="s">
        <v>932</v>
      </c>
    </row>
    <row r="17" spans="1:27" ht="33.75" thickBot="1">
      <c r="A17" s="192"/>
      <c r="B17" s="65"/>
      <c r="C17" s="110">
        <v>0</v>
      </c>
      <c r="D17" s="110">
        <v>0</v>
      </c>
      <c r="E17" s="110">
        <v>1</v>
      </c>
      <c r="F17" s="110">
        <v>1</v>
      </c>
      <c r="G17" s="56">
        <v>10</v>
      </c>
      <c r="H17" s="110" cm="1">
        <f t="array" ref="H17">IFERROR(SUM($C$7:$F$7*C17:F17),"")</f>
        <v>4</v>
      </c>
      <c r="I17" s="139" t="s">
        <v>1255</v>
      </c>
      <c r="J17" s="110" t="s">
        <v>1343</v>
      </c>
      <c r="K17" s="110" t="s">
        <v>1276</v>
      </c>
      <c r="L17" s="110" t="s">
        <v>1277</v>
      </c>
      <c r="M17" s="110" t="s">
        <v>1221</v>
      </c>
      <c r="N17" s="110" t="s">
        <v>811</v>
      </c>
      <c r="O17" s="110" t="s">
        <v>1217</v>
      </c>
      <c r="P17" s="57"/>
      <c r="Q17" s="110">
        <v>4</v>
      </c>
      <c r="R17" s="114"/>
      <c r="S17" s="110">
        <v>0</v>
      </c>
      <c r="T17" s="115"/>
      <c r="U17" s="110" t="s">
        <v>1106</v>
      </c>
      <c r="V17" s="207">
        <v>112.05692561487682</v>
      </c>
      <c r="W17" s="110">
        <v>12</v>
      </c>
      <c r="X17" s="115"/>
      <c r="Y17" s="110" t="s">
        <v>894</v>
      </c>
      <c r="Z17" s="213">
        <v>10632277</v>
      </c>
      <c r="AA17" s="197" t="s">
        <v>932</v>
      </c>
    </row>
    <row r="18" spans="1:27" ht="33.75" thickBot="1">
      <c r="A18" s="193">
        <v>5</v>
      </c>
      <c r="B18" s="68" t="s">
        <v>25</v>
      </c>
      <c r="C18" s="110">
        <v>0</v>
      </c>
      <c r="D18" s="110">
        <v>0</v>
      </c>
      <c r="E18" s="110">
        <v>1</v>
      </c>
      <c r="F18" s="110">
        <v>1</v>
      </c>
      <c r="G18" s="41">
        <v>11</v>
      </c>
      <c r="H18" s="110" cm="1">
        <f t="array" ref="H18">IFERROR(SUM($C$7:$F$7*C18:F18),"")</f>
        <v>4</v>
      </c>
      <c r="I18" s="139" t="s">
        <v>1256</v>
      </c>
      <c r="J18" s="110" t="s">
        <v>1343</v>
      </c>
      <c r="K18" s="110" t="s">
        <v>1278</v>
      </c>
      <c r="L18" s="110" t="s">
        <v>1279</v>
      </c>
      <c r="M18" s="110" t="s">
        <v>1280</v>
      </c>
      <c r="N18" s="110" t="s">
        <v>811</v>
      </c>
      <c r="O18" s="110" t="s">
        <v>1217</v>
      </c>
      <c r="P18" s="57"/>
      <c r="Q18" s="110">
        <v>4</v>
      </c>
      <c r="R18" s="115"/>
      <c r="S18" s="110">
        <v>0</v>
      </c>
      <c r="T18" s="113"/>
      <c r="U18" s="110" t="s">
        <v>1106</v>
      </c>
      <c r="V18" s="207">
        <v>193.74969843590151</v>
      </c>
      <c r="W18" s="110">
        <v>12</v>
      </c>
      <c r="X18" s="113"/>
      <c r="Y18" s="110" t="s">
        <v>894</v>
      </c>
      <c r="Z18" s="213">
        <v>10632285</v>
      </c>
      <c r="AA18" s="197" t="s">
        <v>932</v>
      </c>
    </row>
    <row r="19" spans="1:27" ht="33.75" thickBot="1">
      <c r="A19" s="192"/>
      <c r="B19" s="69" t="s">
        <v>26</v>
      </c>
      <c r="C19" s="110">
        <v>0</v>
      </c>
      <c r="D19" s="110">
        <v>0</v>
      </c>
      <c r="E19" s="110">
        <v>1</v>
      </c>
      <c r="F19" s="110">
        <v>1</v>
      </c>
      <c r="G19" s="41">
        <v>12</v>
      </c>
      <c r="H19" s="110" cm="1">
        <f t="array" ref="H19">IFERROR(SUM($C$7:$F$7*C19:F19),"")</f>
        <v>4</v>
      </c>
      <c r="I19" s="139" t="s">
        <v>1256</v>
      </c>
      <c r="J19" s="110" t="s">
        <v>1343</v>
      </c>
      <c r="K19" s="110" t="s">
        <v>1281</v>
      </c>
      <c r="L19" s="110" t="s">
        <v>1282</v>
      </c>
      <c r="M19" s="110" t="s">
        <v>1280</v>
      </c>
      <c r="N19" s="110" t="s">
        <v>811</v>
      </c>
      <c r="O19" s="110" t="s">
        <v>1217</v>
      </c>
      <c r="P19" s="57"/>
      <c r="Q19" s="110">
        <v>4</v>
      </c>
      <c r="R19" s="113"/>
      <c r="S19" s="110">
        <v>0</v>
      </c>
      <c r="T19" s="114"/>
      <c r="U19" s="110" t="s">
        <v>1106</v>
      </c>
      <c r="V19" s="207">
        <v>329.56987406335827</v>
      </c>
      <c r="W19" s="110">
        <v>12</v>
      </c>
      <c r="X19" s="114"/>
      <c r="Y19" s="110" t="s">
        <v>894</v>
      </c>
      <c r="Z19" s="213">
        <v>10632286</v>
      </c>
      <c r="AA19" s="197" t="s">
        <v>932</v>
      </c>
    </row>
    <row r="20" spans="1:27" ht="33.75" thickBot="1">
      <c r="A20" s="192"/>
      <c r="B20" s="68" t="s">
        <v>27</v>
      </c>
      <c r="C20" s="110">
        <v>1</v>
      </c>
      <c r="D20" s="110">
        <v>1</v>
      </c>
      <c r="E20" s="110">
        <v>1</v>
      </c>
      <c r="F20" s="110">
        <v>1</v>
      </c>
      <c r="G20" s="41">
        <v>13</v>
      </c>
      <c r="H20" s="110" cm="1">
        <f t="array" ref="H20">IFERROR(SUM($C$7:$F$7*C20:F20),"")</f>
        <v>8</v>
      </c>
      <c r="I20" s="139" t="s">
        <v>1206</v>
      </c>
      <c r="J20" s="110" t="s">
        <v>1342</v>
      </c>
      <c r="K20" s="110" t="s">
        <v>1283</v>
      </c>
      <c r="L20" s="110" t="s">
        <v>1284</v>
      </c>
      <c r="M20" s="110" t="s">
        <v>1221</v>
      </c>
      <c r="N20" s="110" t="s">
        <v>811</v>
      </c>
      <c r="O20" s="110" t="s">
        <v>1217</v>
      </c>
      <c r="P20" s="57"/>
      <c r="Q20" s="110">
        <v>4</v>
      </c>
      <c r="R20" s="114"/>
      <c r="S20" s="110">
        <v>0</v>
      </c>
      <c r="T20" s="114"/>
      <c r="U20" s="110" t="s">
        <v>1106</v>
      </c>
      <c r="V20" s="207">
        <v>2976.0830279643828</v>
      </c>
      <c r="W20" s="110">
        <v>18</v>
      </c>
      <c r="X20" s="114"/>
      <c r="Y20" s="110" t="s">
        <v>894</v>
      </c>
      <c r="Z20" s="213">
        <v>10632269</v>
      </c>
      <c r="AA20" s="197" t="s">
        <v>932</v>
      </c>
    </row>
    <row r="21" spans="1:27" ht="33.75" thickBot="1">
      <c r="A21" s="192"/>
      <c r="B21" s="69" t="s">
        <v>28</v>
      </c>
      <c r="C21" s="110">
        <v>0</v>
      </c>
      <c r="D21" s="110">
        <v>0</v>
      </c>
      <c r="E21" s="110">
        <v>1</v>
      </c>
      <c r="F21" s="110">
        <v>1</v>
      </c>
      <c r="G21" s="41">
        <v>14</v>
      </c>
      <c r="H21" s="110" cm="1">
        <f t="array" ref="H21">IFERROR(SUM($C$7:$F$7*C21:F21),"")</f>
        <v>4</v>
      </c>
      <c r="I21" s="139" t="s">
        <v>1207</v>
      </c>
      <c r="J21" s="110" t="s">
        <v>1343</v>
      </c>
      <c r="K21" s="110" t="s">
        <v>1285</v>
      </c>
      <c r="L21" s="110" t="s">
        <v>1286</v>
      </c>
      <c r="M21" s="110" t="s">
        <v>1263</v>
      </c>
      <c r="N21" s="110" t="s">
        <v>811</v>
      </c>
      <c r="O21" s="110" t="s">
        <v>1217</v>
      </c>
      <c r="P21" s="57"/>
      <c r="Q21" s="110">
        <v>2</v>
      </c>
      <c r="R21" s="114"/>
      <c r="S21" s="110">
        <v>0</v>
      </c>
      <c r="T21" s="114"/>
      <c r="U21" s="110" t="s">
        <v>1106</v>
      </c>
      <c r="V21" s="207">
        <v>2552.8009167494897</v>
      </c>
      <c r="W21" s="110">
        <v>16</v>
      </c>
      <c r="X21" s="114"/>
      <c r="Y21" s="110" t="s">
        <v>894</v>
      </c>
      <c r="Z21" s="213">
        <v>10632289</v>
      </c>
      <c r="AA21" s="197" t="s">
        <v>932</v>
      </c>
    </row>
    <row r="22" spans="1:27" ht="33.75" thickBot="1">
      <c r="A22" s="192"/>
      <c r="B22" s="68" t="s">
        <v>29</v>
      </c>
      <c r="C22" s="110">
        <v>0</v>
      </c>
      <c r="D22" s="110">
        <v>0</v>
      </c>
      <c r="E22" s="110">
        <v>1</v>
      </c>
      <c r="F22" s="110">
        <v>1</v>
      </c>
      <c r="G22" s="56">
        <v>15</v>
      </c>
      <c r="H22" s="110" cm="1">
        <f t="array" ref="H22">IFERROR(SUM($C$7:$F$7*C22:F22),"")</f>
        <v>4</v>
      </c>
      <c r="I22" s="139" t="s">
        <v>1207</v>
      </c>
      <c r="J22" s="110" t="s">
        <v>1343</v>
      </c>
      <c r="K22" s="110" t="s">
        <v>1287</v>
      </c>
      <c r="L22" s="110" t="s">
        <v>1288</v>
      </c>
      <c r="M22" s="110" t="s">
        <v>1221</v>
      </c>
      <c r="N22" s="110" t="s">
        <v>811</v>
      </c>
      <c r="O22" s="110" t="s">
        <v>1217</v>
      </c>
      <c r="P22" s="57"/>
      <c r="Q22" s="110">
        <v>2</v>
      </c>
      <c r="R22" s="114"/>
      <c r="S22" s="110">
        <v>0</v>
      </c>
      <c r="T22" s="115"/>
      <c r="U22" s="110" t="s">
        <v>1106</v>
      </c>
      <c r="V22" s="207">
        <v>939.87292092625125</v>
      </c>
      <c r="W22" s="110">
        <v>16</v>
      </c>
      <c r="X22" s="115"/>
      <c r="Y22" s="110" t="s">
        <v>894</v>
      </c>
      <c r="Z22" s="213">
        <v>10632290</v>
      </c>
      <c r="AA22" s="197" t="s">
        <v>932</v>
      </c>
    </row>
    <row r="23" spans="1:27" ht="33.75" thickBot="1">
      <c r="A23" s="192"/>
      <c r="B23" s="69" t="s">
        <v>30</v>
      </c>
      <c r="C23" s="110">
        <v>1</v>
      </c>
      <c r="D23" s="110">
        <v>1</v>
      </c>
      <c r="E23" s="110">
        <v>1</v>
      </c>
      <c r="F23" s="110">
        <v>1</v>
      </c>
      <c r="G23" s="41">
        <v>16</v>
      </c>
      <c r="H23" s="110" cm="1">
        <f t="array" ref="H23">IFERROR(SUM($C$7:$F$7*C23:F23),"")</f>
        <v>8</v>
      </c>
      <c r="I23" s="139" t="s">
        <v>1257</v>
      </c>
      <c r="J23" s="110" t="s">
        <v>1342</v>
      </c>
      <c r="K23" s="110" t="s">
        <v>1289</v>
      </c>
      <c r="L23" s="110" t="s">
        <v>1290</v>
      </c>
      <c r="M23" s="110" t="s">
        <v>1280</v>
      </c>
      <c r="N23" s="110" t="s">
        <v>811</v>
      </c>
      <c r="O23" s="110" t="s">
        <v>1217</v>
      </c>
      <c r="P23" s="60"/>
      <c r="Q23" s="110">
        <v>4</v>
      </c>
      <c r="R23" s="115"/>
      <c r="S23" s="110">
        <v>0</v>
      </c>
      <c r="T23" s="113"/>
      <c r="U23" s="110" t="s">
        <v>1106</v>
      </c>
      <c r="V23" s="207">
        <v>1660.8661426990102</v>
      </c>
      <c r="W23" s="110">
        <v>14</v>
      </c>
      <c r="X23" s="113"/>
      <c r="Y23" s="110" t="s">
        <v>894</v>
      </c>
      <c r="Z23" s="213">
        <v>10632291</v>
      </c>
      <c r="AA23" s="197" t="s">
        <v>932</v>
      </c>
    </row>
    <row r="24" spans="1:27" ht="39" customHeight="1" thickBot="1">
      <c r="A24" s="192"/>
      <c r="B24" s="70" t="s">
        <v>31</v>
      </c>
      <c r="C24" s="110">
        <v>1</v>
      </c>
      <c r="D24" s="110">
        <v>1</v>
      </c>
      <c r="E24" s="110">
        <v>1</v>
      </c>
      <c r="F24" s="110">
        <v>1</v>
      </c>
      <c r="G24" s="41">
        <v>17</v>
      </c>
      <c r="H24" s="110" cm="1">
        <f t="array" ref="H24">IFERROR(SUM($C$7:$F$7*C24:F24),"")</f>
        <v>8</v>
      </c>
      <c r="I24" s="139" t="s">
        <v>1258</v>
      </c>
      <c r="J24" s="110" t="s">
        <v>1342</v>
      </c>
      <c r="K24" s="110" t="s">
        <v>1291</v>
      </c>
      <c r="L24" s="110" t="s">
        <v>1292</v>
      </c>
      <c r="M24" s="110" t="s">
        <v>1220</v>
      </c>
      <c r="N24" s="110" t="s">
        <v>811</v>
      </c>
      <c r="O24" s="110" t="s">
        <v>1217</v>
      </c>
      <c r="P24" s="52"/>
      <c r="Q24" s="110">
        <v>4</v>
      </c>
      <c r="R24" s="113"/>
      <c r="S24" s="110">
        <v>0</v>
      </c>
      <c r="T24" s="114"/>
      <c r="U24" s="110" t="s">
        <v>1106</v>
      </c>
      <c r="V24" s="207">
        <v>10318.86802965338</v>
      </c>
      <c r="W24" s="110">
        <v>18</v>
      </c>
      <c r="X24" s="114"/>
      <c r="Y24" s="110" t="s">
        <v>894</v>
      </c>
      <c r="Z24" s="213">
        <v>10632271</v>
      </c>
      <c r="AA24" s="197" t="s">
        <v>932</v>
      </c>
    </row>
    <row r="25" spans="1:27" ht="33.75" thickBot="1">
      <c r="A25" s="192"/>
      <c r="B25" s="70" t="s">
        <v>32</v>
      </c>
      <c r="C25" s="110">
        <v>0</v>
      </c>
      <c r="D25" s="110">
        <v>0</v>
      </c>
      <c r="E25" s="110">
        <v>1</v>
      </c>
      <c r="F25" s="110">
        <v>1</v>
      </c>
      <c r="G25" s="41">
        <v>18</v>
      </c>
      <c r="H25" s="110" cm="1">
        <f t="array" ref="H25">IFERROR(SUM($C$7:$F$7*C25:F25),"")</f>
        <v>4</v>
      </c>
      <c r="I25" s="139" t="s">
        <v>1259</v>
      </c>
      <c r="J25" s="110" t="s">
        <v>1343</v>
      </c>
      <c r="K25" s="110" t="s">
        <v>1293</v>
      </c>
      <c r="L25" s="110" t="s">
        <v>1294</v>
      </c>
      <c r="M25" s="110" t="s">
        <v>1221</v>
      </c>
      <c r="N25" s="110" t="s">
        <v>811</v>
      </c>
      <c r="O25" s="110" t="s">
        <v>1217</v>
      </c>
      <c r="P25" s="57"/>
      <c r="Q25" s="110">
        <v>2</v>
      </c>
      <c r="R25" s="114"/>
      <c r="S25" s="110">
        <v>0</v>
      </c>
      <c r="T25" s="114"/>
      <c r="U25" s="110" t="s">
        <v>1106</v>
      </c>
      <c r="V25" s="207">
        <v>1902.3323639991922</v>
      </c>
      <c r="W25" s="110">
        <v>18</v>
      </c>
      <c r="X25" s="114"/>
      <c r="Y25" s="110" t="s">
        <v>894</v>
      </c>
      <c r="Z25" s="213">
        <v>10632267</v>
      </c>
      <c r="AA25" s="197" t="s">
        <v>932</v>
      </c>
    </row>
    <row r="26" spans="1:27" ht="33.75" thickBot="1">
      <c r="A26" s="192"/>
      <c r="B26" s="70" t="s">
        <v>6</v>
      </c>
      <c r="C26" s="110">
        <v>0</v>
      </c>
      <c r="D26" s="110">
        <v>0</v>
      </c>
      <c r="E26" s="110">
        <v>4</v>
      </c>
      <c r="F26" s="110">
        <v>6</v>
      </c>
      <c r="G26" s="41">
        <v>19</v>
      </c>
      <c r="H26" s="110" cm="1">
        <f t="array" ref="H26">IFERROR(SUM($C$7:$F$7*C26:F26),"")</f>
        <v>20</v>
      </c>
      <c r="I26" s="139" t="s">
        <v>1259</v>
      </c>
      <c r="J26" s="110" t="s">
        <v>1343</v>
      </c>
      <c r="K26" s="110" t="s">
        <v>1297</v>
      </c>
      <c r="L26" s="110" t="s">
        <v>1298</v>
      </c>
      <c r="M26" s="110" t="s">
        <v>1221</v>
      </c>
      <c r="N26" s="110" t="s">
        <v>811</v>
      </c>
      <c r="O26" s="110" t="s">
        <v>1217</v>
      </c>
      <c r="P26" s="57"/>
      <c r="Q26" s="110">
        <v>10</v>
      </c>
      <c r="R26" s="114"/>
      <c r="S26" s="110">
        <v>0</v>
      </c>
      <c r="T26" s="114"/>
      <c r="U26" s="110" t="s">
        <v>1106</v>
      </c>
      <c r="V26" s="207">
        <v>784.3868367669487</v>
      </c>
      <c r="W26" s="110">
        <v>18</v>
      </c>
      <c r="X26" s="114"/>
      <c r="Y26" s="110" t="s">
        <v>894</v>
      </c>
      <c r="Z26" s="213">
        <v>10632268</v>
      </c>
      <c r="AA26" s="197" t="s">
        <v>932</v>
      </c>
    </row>
    <row r="27" spans="1:27" ht="35.65" customHeight="1" thickBot="1">
      <c r="A27" s="192"/>
      <c r="B27" s="64"/>
      <c r="C27" s="110">
        <v>0</v>
      </c>
      <c r="D27" s="110">
        <v>0</v>
      </c>
      <c r="E27" s="110">
        <v>1</v>
      </c>
      <c r="F27" s="110">
        <v>1</v>
      </c>
      <c r="G27" s="56">
        <v>20</v>
      </c>
      <c r="H27" s="110" cm="1">
        <f t="array" ref="H27">IFERROR(SUM($C$7:$F$7*C27:F27),"")</f>
        <v>4</v>
      </c>
      <c r="I27" s="139" t="s">
        <v>1299</v>
      </c>
      <c r="J27" s="110" t="s">
        <v>1343</v>
      </c>
      <c r="K27" s="110" t="s">
        <v>1303</v>
      </c>
      <c r="L27" s="110" t="s">
        <v>1304</v>
      </c>
      <c r="M27" s="110" t="s">
        <v>1220</v>
      </c>
      <c r="N27" s="110" t="s">
        <v>811</v>
      </c>
      <c r="O27" s="110" t="s">
        <v>1217</v>
      </c>
      <c r="P27" s="86"/>
      <c r="Q27" s="110">
        <v>2</v>
      </c>
      <c r="R27" s="116"/>
      <c r="S27" s="110">
        <v>0</v>
      </c>
      <c r="T27" s="115"/>
      <c r="U27" s="110" t="s">
        <v>1106</v>
      </c>
      <c r="V27" s="207">
        <v>637.83143271988843</v>
      </c>
      <c r="W27" s="110">
        <v>14</v>
      </c>
      <c r="X27" s="115"/>
      <c r="Y27" s="110" t="s">
        <v>894</v>
      </c>
      <c r="Z27" s="213">
        <v>10632292</v>
      </c>
      <c r="AA27" s="197" t="s">
        <v>932</v>
      </c>
    </row>
    <row r="28" spans="1:27" ht="35.65" customHeight="1" thickBot="1">
      <c r="A28" s="192"/>
      <c r="B28" s="71"/>
      <c r="C28" s="110"/>
      <c r="D28" s="110"/>
      <c r="E28" s="110"/>
      <c r="F28" s="110"/>
      <c r="G28" s="41">
        <v>21</v>
      </c>
      <c r="H28" s="110" cm="1">
        <f t="array" ref="H28">IFERROR(SUM($C$7:$F$7*C28:F28),"")</f>
        <v>0</v>
      </c>
      <c r="I28" s="139"/>
      <c r="J28" s="110"/>
      <c r="K28" s="110"/>
      <c r="L28" s="110"/>
      <c r="M28" s="110"/>
      <c r="N28" s="110"/>
      <c r="O28" s="110"/>
      <c r="P28" s="52"/>
      <c r="Q28" s="110"/>
      <c r="R28" s="113"/>
      <c r="S28" s="110"/>
      <c r="T28" s="113"/>
      <c r="U28" s="110"/>
      <c r="V28" s="110"/>
      <c r="W28" s="110"/>
      <c r="X28" s="113"/>
      <c r="Y28" s="110"/>
      <c r="Z28" s="113"/>
      <c r="AA28" s="197"/>
    </row>
    <row r="29" spans="1:27" ht="13.5" thickBot="1">
      <c r="A29" s="192"/>
      <c r="B29" s="71"/>
      <c r="C29" s="110"/>
      <c r="D29" s="110"/>
      <c r="E29" s="110"/>
      <c r="F29" s="110"/>
      <c r="G29" s="41">
        <v>22</v>
      </c>
      <c r="H29" s="110" cm="1">
        <f t="array" ref="H29">IFERROR(SUM($C$7:$F$7*C29:F29),"")</f>
        <v>0</v>
      </c>
      <c r="I29" s="139"/>
      <c r="J29" s="110"/>
      <c r="K29" s="110"/>
      <c r="L29" s="110"/>
      <c r="M29" s="110"/>
      <c r="N29" s="110"/>
      <c r="O29" s="110"/>
      <c r="P29" s="57"/>
      <c r="Q29" s="110"/>
      <c r="R29" s="114"/>
      <c r="S29" s="110"/>
      <c r="T29" s="114"/>
      <c r="U29" s="110"/>
      <c r="V29" s="110"/>
      <c r="W29" s="110"/>
      <c r="X29" s="114"/>
      <c r="Y29" s="110"/>
      <c r="Z29" s="114"/>
      <c r="AA29" s="197"/>
    </row>
    <row r="30" spans="1:27" ht="13.5" thickBot="1">
      <c r="A30" s="192"/>
      <c r="B30" s="71"/>
      <c r="C30" s="110"/>
      <c r="D30" s="110"/>
      <c r="E30" s="110"/>
      <c r="F30" s="110"/>
      <c r="G30" s="41">
        <v>23</v>
      </c>
      <c r="H30" s="110" cm="1">
        <f t="array" ref="H30">IFERROR(SUM($C$7:$F$7*C30:F30),"")</f>
        <v>0</v>
      </c>
      <c r="I30" s="139"/>
      <c r="J30" s="110"/>
      <c r="K30" s="110"/>
      <c r="L30" s="110"/>
      <c r="M30" s="110"/>
      <c r="N30" s="110"/>
      <c r="O30" s="110"/>
      <c r="P30" s="57"/>
      <c r="Q30" s="110"/>
      <c r="R30" s="114"/>
      <c r="S30" s="110"/>
      <c r="T30" s="114"/>
      <c r="U30" s="110"/>
      <c r="V30" s="110"/>
      <c r="W30" s="110"/>
      <c r="X30" s="114"/>
      <c r="Y30" s="110"/>
      <c r="Z30" s="114"/>
      <c r="AA30" s="197"/>
    </row>
    <row r="31" spans="1:27" ht="13.5" thickBot="1">
      <c r="A31" s="192"/>
      <c r="B31" s="71"/>
      <c r="C31" s="110"/>
      <c r="D31" s="110"/>
      <c r="E31" s="110"/>
      <c r="F31" s="110"/>
      <c r="G31" s="56">
        <v>24</v>
      </c>
      <c r="H31" s="110" cm="1">
        <f t="array" ref="H31">IFERROR(SUM($C$7:$F$7*C31:F31),"")</f>
        <v>0</v>
      </c>
      <c r="I31" s="139"/>
      <c r="J31" s="110"/>
      <c r="K31" s="110"/>
      <c r="L31" s="110"/>
      <c r="M31" s="110"/>
      <c r="N31" s="110"/>
      <c r="O31" s="110"/>
      <c r="P31" s="86"/>
      <c r="Q31" s="110"/>
      <c r="R31" s="116"/>
      <c r="S31" s="110"/>
      <c r="T31" s="116"/>
      <c r="U31" s="110"/>
      <c r="V31" s="110"/>
      <c r="W31" s="110"/>
      <c r="X31" s="115"/>
      <c r="Y31" s="110"/>
      <c r="Z31" s="115"/>
      <c r="AA31" s="197"/>
    </row>
    <row r="32" spans="1:27" ht="22.9" customHeight="1" thickBot="1">
      <c r="A32" s="184" t="s">
        <v>6</v>
      </c>
      <c r="B32" s="27" t="s">
        <v>6</v>
      </c>
      <c r="C32" s="230" t="s">
        <v>1344</v>
      </c>
      <c r="D32" s="230" t="s">
        <v>1345</v>
      </c>
      <c r="E32" s="230" t="s">
        <v>1346</v>
      </c>
      <c r="F32" s="230" t="s">
        <v>1347</v>
      </c>
      <c r="G32" s="276"/>
      <c r="H32" s="232"/>
      <c r="I32" s="28" t="s">
        <v>33</v>
      </c>
      <c r="J32" s="130" t="s">
        <v>1229</v>
      </c>
      <c r="K32" s="222" t="s">
        <v>51</v>
      </c>
      <c r="L32" s="223"/>
      <c r="M32" s="223"/>
      <c r="N32" s="223"/>
      <c r="O32" s="224"/>
      <c r="P32" s="240" t="s">
        <v>1125</v>
      </c>
      <c r="Q32" s="241"/>
      <c r="R32" s="241"/>
      <c r="S32" s="241"/>
      <c r="T32" s="241"/>
      <c r="U32" s="241"/>
      <c r="V32" s="242"/>
      <c r="W32" s="29" t="s">
        <v>34</v>
      </c>
      <c r="X32" s="30"/>
      <c r="Y32" s="217" t="s">
        <v>1383</v>
      </c>
      <c r="Z32" s="218"/>
      <c r="AA32" s="219"/>
    </row>
    <row r="33" spans="1:27" ht="17.100000000000001" customHeight="1" thickTop="1" thickBot="1">
      <c r="A33" s="185"/>
      <c r="B33" s="43" t="s">
        <v>35</v>
      </c>
      <c r="C33" s="230"/>
      <c r="D33" s="230"/>
      <c r="E33" s="230"/>
      <c r="F33" s="230"/>
      <c r="G33" s="277"/>
      <c r="H33" s="233"/>
      <c r="I33" s="32" t="s">
        <v>36</v>
      </c>
      <c r="J33" s="130" t="s">
        <v>1230</v>
      </c>
      <c r="K33" s="142" t="s">
        <v>1231</v>
      </c>
      <c r="L33" s="225" t="s">
        <v>1232</v>
      </c>
      <c r="M33" s="225"/>
      <c r="N33" s="142" t="s">
        <v>1233</v>
      </c>
      <c r="O33" s="142" t="s">
        <v>1234</v>
      </c>
      <c r="P33" s="243"/>
      <c r="Q33" s="244"/>
      <c r="R33" s="244"/>
      <c r="S33" s="244"/>
      <c r="T33" s="244"/>
      <c r="U33" s="244"/>
      <c r="V33" s="245"/>
      <c r="W33" s="33" t="s">
        <v>37</v>
      </c>
      <c r="X33" s="34"/>
      <c r="Y33" s="217">
        <v>45888</v>
      </c>
      <c r="Z33" s="218"/>
      <c r="AA33" s="219"/>
    </row>
    <row r="34" spans="1:27" ht="17.100000000000001" customHeight="1" thickTop="1" thickBot="1">
      <c r="A34" s="185">
        <v>6</v>
      </c>
      <c r="B34" s="31" t="s">
        <v>49</v>
      </c>
      <c r="C34" s="230"/>
      <c r="D34" s="230"/>
      <c r="E34" s="230"/>
      <c r="F34" s="230"/>
      <c r="G34" s="277"/>
      <c r="H34" s="233"/>
      <c r="I34" s="35" t="s">
        <v>38</v>
      </c>
      <c r="J34" s="130" t="s">
        <v>1379</v>
      </c>
      <c r="K34" s="142" t="s">
        <v>1235</v>
      </c>
      <c r="L34" s="225" t="s">
        <v>1236</v>
      </c>
      <c r="M34" s="225"/>
      <c r="N34" s="142" t="s">
        <v>1237</v>
      </c>
      <c r="O34" s="142" t="s">
        <v>1238</v>
      </c>
      <c r="P34" s="243"/>
      <c r="Q34" s="244"/>
      <c r="R34" s="244"/>
      <c r="S34" s="244"/>
      <c r="T34" s="244"/>
      <c r="U34" s="244"/>
      <c r="V34" s="245"/>
      <c r="W34" s="33" t="s">
        <v>39</v>
      </c>
      <c r="X34" s="34"/>
      <c r="Y34" s="274"/>
      <c r="Z34" s="274"/>
      <c r="AA34" s="275"/>
    </row>
    <row r="35" spans="1:27" ht="17.100000000000001" customHeight="1">
      <c r="A35" s="185"/>
      <c r="B35" s="42" t="s">
        <v>48</v>
      </c>
      <c r="C35" s="230"/>
      <c r="D35" s="230"/>
      <c r="E35" s="230"/>
      <c r="F35" s="230"/>
      <c r="G35" s="277"/>
      <c r="H35" s="233"/>
      <c r="I35" s="36" t="s">
        <v>40</v>
      </c>
      <c r="J35" s="37"/>
      <c r="K35" s="142" t="s">
        <v>1239</v>
      </c>
      <c r="L35" s="142" t="s">
        <v>1240</v>
      </c>
      <c r="M35" s="142"/>
      <c r="N35" s="142" t="s">
        <v>1241</v>
      </c>
      <c r="O35" s="142" t="s">
        <v>1242</v>
      </c>
      <c r="P35" s="243"/>
      <c r="Q35" s="244"/>
      <c r="R35" s="244"/>
      <c r="S35" s="244"/>
      <c r="T35" s="244"/>
      <c r="U35" s="244"/>
      <c r="V35" s="245"/>
      <c r="W35" s="38" t="s">
        <v>41</v>
      </c>
      <c r="X35" s="39"/>
      <c r="Y35" s="200">
        <v>3</v>
      </c>
      <c r="Z35" s="203" t="s">
        <v>31</v>
      </c>
      <c r="AA35" s="204">
        <v>9</v>
      </c>
    </row>
    <row r="36" spans="1:27" ht="17.100000000000001" customHeight="1" thickBot="1">
      <c r="A36" s="186"/>
      <c r="B36" s="196" t="s">
        <v>42</v>
      </c>
      <c r="C36" s="231"/>
      <c r="D36" s="231"/>
      <c r="E36" s="231"/>
      <c r="F36" s="231"/>
      <c r="G36" s="278"/>
      <c r="H36" s="234"/>
      <c r="I36" s="180" t="s">
        <v>43</v>
      </c>
      <c r="J36" s="181"/>
      <c r="K36" s="148" t="s">
        <v>1243</v>
      </c>
      <c r="L36" s="148" t="s">
        <v>1244</v>
      </c>
      <c r="M36" s="148" t="s">
        <v>1245</v>
      </c>
      <c r="N36" s="148" t="s">
        <v>1246</v>
      </c>
      <c r="O36" s="148" t="s">
        <v>1247</v>
      </c>
      <c r="P36" s="246"/>
      <c r="Q36" s="247"/>
      <c r="R36" s="247"/>
      <c r="S36" s="247"/>
      <c r="T36" s="247"/>
      <c r="U36" s="247"/>
      <c r="V36" s="248"/>
      <c r="W36" s="182" t="s">
        <v>44</v>
      </c>
      <c r="X36" s="183"/>
      <c r="Y36" s="220">
        <v>2316054</v>
      </c>
      <c r="Z36" s="220"/>
      <c r="AA36" s="221"/>
    </row>
    <row r="37" spans="1:27" ht="17.100000000000001" customHeight="1"/>
  </sheetData>
  <sheetProtection algorithmName="SHA-512" hashValue="58T07tr9pI9XuHmhytY4iw+YKTm7kKk10MTXy7clAU1bLJNjQGDBgu0ScOjd/7r+rZyJDHC2ty4Ug4zz1XdwAg==" saltValue="I5+8BmAJ9/6f/uO2ZtpyzQ==" spinCount="100000" sheet="1" scenarios="1" formatCells="0" formatColumns="0" formatRows="0"/>
  <mergeCells count="35">
    <mergeCell ref="B1:B3"/>
    <mergeCell ref="C1:C3"/>
    <mergeCell ref="D1:D3"/>
    <mergeCell ref="E1:E3"/>
    <mergeCell ref="F1:F3"/>
    <mergeCell ref="W4:AA4"/>
    <mergeCell ref="U5:AA5"/>
    <mergeCell ref="U1:X1"/>
    <mergeCell ref="Y1:AA1"/>
    <mergeCell ref="G2:L4"/>
    <mergeCell ref="U2:W2"/>
    <mergeCell ref="X2:AA2"/>
    <mergeCell ref="U3:X3"/>
    <mergeCell ref="Y3:AA3"/>
    <mergeCell ref="G1:L1"/>
    <mergeCell ref="B4:B5"/>
    <mergeCell ref="C4:C5"/>
    <mergeCell ref="D4:D5"/>
    <mergeCell ref="E4:E5"/>
    <mergeCell ref="F4:F5"/>
    <mergeCell ref="U7:V7"/>
    <mergeCell ref="C32:C36"/>
    <mergeCell ref="D32:D36"/>
    <mergeCell ref="E32:E36"/>
    <mergeCell ref="F32:F36"/>
    <mergeCell ref="G32:G36"/>
    <mergeCell ref="H32:H36"/>
    <mergeCell ref="K32:O32"/>
    <mergeCell ref="P32:V36"/>
    <mergeCell ref="Y32:AA32"/>
    <mergeCell ref="Y33:AA33"/>
    <mergeCell ref="Y34:AA34"/>
    <mergeCell ref="Y36:AA36"/>
    <mergeCell ref="L33:M33"/>
    <mergeCell ref="L34:M34"/>
  </mergeCells>
  <dataValidations count="3">
    <dataValidation type="decimal" operator="greaterThan" showInputMessage="1" showErrorMessage="1" sqref="V8:V31" xr:uid="{00000000-0002-0000-0200-000000000000}">
      <formula1>0</formula1>
    </dataValidation>
    <dataValidation showInputMessage="1" showErrorMessage="1" sqref="M8:M31" xr:uid="{00000000-0002-0000-0200-000001000000}"/>
    <dataValidation type="decimal" showInputMessage="1" showErrorMessage="1" sqref="Q8:T31" xr:uid="{00000000-0002-0000-0200-000002000000}">
      <formula1>0</formula1>
      <formula2>9999999</formula2>
    </dataValidation>
  </dataValidations>
  <printOptions horizontalCentered="1"/>
  <pageMargins left="0" right="0" top="0.25" bottom="0.25" header="0" footer="0"/>
  <pageSetup paperSize="8" scale="79"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anchor moveWithCells="1" sizeWithCells="1">
                  <from>
                    <xdr:col>0</xdr:col>
                    <xdr:colOff>0</xdr:colOff>
                    <xdr:row>31</xdr:row>
                    <xdr:rowOff>57150</xdr:rowOff>
                  </from>
                  <to>
                    <xdr:col>0</xdr:col>
                    <xdr:colOff>0</xdr:colOff>
                    <xdr:row>36</xdr:row>
                    <xdr:rowOff>104775</xdr:rowOff>
                  </to>
                </anchor>
              </controlPr>
            </control>
          </mc:Choice>
        </mc:AlternateContent>
        <mc:AlternateContent xmlns:mc="http://schemas.openxmlformats.org/markup-compatibility/2006">
          <mc:Choice Requires="x14">
            <control shapeId="5122" r:id="rId5" name="Check Box 2">
              <controlPr locked="0" defaultSize="0" autoFill="0" autoLine="0" autoPict="0">
                <anchor moveWithCells="1">
                  <from>
                    <xdr:col>7</xdr:col>
                    <xdr:colOff>247650</xdr:colOff>
                    <xdr:row>0</xdr:row>
                    <xdr:rowOff>209550</xdr:rowOff>
                  </from>
                  <to>
                    <xdr:col>8</xdr:col>
                    <xdr:colOff>1619250</xdr:colOff>
                    <xdr:row>0</xdr:row>
                    <xdr:rowOff>342900</xdr:rowOff>
                  </to>
                </anchor>
              </controlPr>
            </control>
          </mc:Choice>
        </mc:AlternateContent>
        <mc:AlternateContent xmlns:mc="http://schemas.openxmlformats.org/markup-compatibility/2006">
          <mc:Choice Requires="x14">
            <control shapeId="5123" r:id="rId6" name="Check Box 3">
              <controlPr locked="0" defaultSize="0" autoFill="0" autoLine="0" autoPict="0">
                <anchor moveWithCells="1">
                  <from>
                    <xdr:col>7</xdr:col>
                    <xdr:colOff>247650</xdr:colOff>
                    <xdr:row>0</xdr:row>
                    <xdr:rowOff>361950</xdr:rowOff>
                  </from>
                  <to>
                    <xdr:col>8</xdr:col>
                    <xdr:colOff>1409700</xdr:colOff>
                    <xdr:row>1</xdr:row>
                    <xdr:rowOff>19050</xdr:rowOff>
                  </to>
                </anchor>
              </controlPr>
            </control>
          </mc:Choice>
        </mc:AlternateContent>
        <mc:AlternateContent xmlns:mc="http://schemas.openxmlformats.org/markup-compatibility/2006">
          <mc:Choice Requires="x14">
            <control shapeId="5124" r:id="rId7" name="Check Box 4">
              <controlPr locked="0" defaultSize="0" autoFill="0" autoLine="0" autoPict="0">
                <anchor moveWithCells="1">
                  <from>
                    <xdr:col>9</xdr:col>
                    <xdr:colOff>38100</xdr:colOff>
                    <xdr:row>0</xdr:row>
                    <xdr:rowOff>180975</xdr:rowOff>
                  </from>
                  <to>
                    <xdr:col>9</xdr:col>
                    <xdr:colOff>1200150</xdr:colOff>
                    <xdr:row>0</xdr:row>
                    <xdr:rowOff>361950</xdr:rowOff>
                  </to>
                </anchor>
              </controlPr>
            </control>
          </mc:Choice>
        </mc:AlternateContent>
        <mc:AlternateContent xmlns:mc="http://schemas.openxmlformats.org/markup-compatibility/2006">
          <mc:Choice Requires="x14">
            <control shapeId="5125" r:id="rId8" name="Check Box 5">
              <controlPr locked="0" defaultSize="0" autoFill="0" autoLine="0" autoPict="0">
                <anchor moveWithCells="1">
                  <from>
                    <xdr:col>9</xdr:col>
                    <xdr:colOff>38100</xdr:colOff>
                    <xdr:row>0</xdr:row>
                    <xdr:rowOff>361950</xdr:rowOff>
                  </from>
                  <to>
                    <xdr:col>10</xdr:col>
                    <xdr:colOff>28575</xdr:colOff>
                    <xdr:row>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00000000-0002-0000-0200-000003000000}">
          <x14:formula1>
            <xm:f>'Validation Lists'!$J$3:$J$50</xm:f>
          </x14:formula1>
          <xm:sqref>Y8:Y31</xm:sqref>
        </x14:dataValidation>
        <x14:dataValidation type="list" allowBlank="1" showInputMessage="1" showErrorMessage="1" xr:uid="{00000000-0002-0000-0200-000004000000}">
          <x14:formula1>
            <xm:f>'Validation Lists'!$C$2:$C$6</xm:f>
          </x14:formula1>
          <xm:sqref>AA8:AA31</xm:sqref>
        </x14:dataValidation>
        <x14:dataValidation type="list" showInputMessage="1" showErrorMessage="1" xr:uid="{00000000-0002-0000-0200-000005000000}">
          <x14:formula1>
            <xm:f>'Validation Lists'!$P$2:$P$35</xm:f>
          </x14:formula1>
          <xm:sqref>N9:N31</xm:sqref>
        </x14:dataValidation>
        <x14:dataValidation type="list" showInputMessage="1" showErrorMessage="1" xr:uid="{00000000-0002-0000-0200-000006000000}">
          <x14:formula1>
            <xm:f>'Validation Lists'!$G$2:$G$189</xm:f>
          </x14:formula1>
          <xm:sqref>U8:U31</xm:sqref>
        </x14:dataValidation>
        <x14:dataValidation type="list" operator="greaterThan" showDropDown="1" showInputMessage="1" showErrorMessage="1" xr:uid="{00000000-0002-0000-0200-000007000000}">
          <x14:formula1>
            <xm:f>'Validation Lists'!$E$2:$E$501</xm:f>
          </x14:formula1>
          <xm:sqref>W8:W31</xm:sqref>
        </x14:dataValidation>
        <x14:dataValidation type="list" showInputMessage="1" showErrorMessage="1" xr:uid="{00000000-0002-0000-0200-000008000000}">
          <x14:formula1>
            <xm:f>'Validation Lists'!$P$2:$P$62</xm:f>
          </x14:formula1>
          <xm:sqref>N8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55DCA-3BC8-47D5-8E69-5ADC13035815}">
  <sheetPr codeName="Sheet5"/>
  <dimension ref="A1:AB37"/>
  <sheetViews>
    <sheetView showGridLines="0" view="pageBreakPreview" topLeftCell="A4" zoomScale="70" zoomScaleNormal="85" zoomScaleSheetLayoutView="70" workbookViewId="0">
      <selection activeCell="B22" sqref="B22"/>
    </sheetView>
  </sheetViews>
  <sheetFormatPr defaultRowHeight="12.75"/>
  <cols>
    <col min="1" max="1" width="1.7109375" customWidth="1"/>
    <col min="2" max="2" width="3.7109375" customWidth="1"/>
    <col min="3" max="7" width="2.7109375" customWidth="1"/>
    <col min="8" max="8" width="3.7109375" customWidth="1"/>
    <col min="9" max="9" width="25.7109375" customWidth="1"/>
    <col min="10" max="10" width="24.28515625" customWidth="1"/>
    <col min="11" max="11" width="8.7109375" customWidth="1"/>
    <col min="12" max="12" width="12.28515625" customWidth="1"/>
    <col min="13" max="13" width="8.7109375" customWidth="1"/>
    <col min="14" max="14" width="25.7109375" customWidth="1"/>
    <col min="15" max="15" width="19.7109375" customWidth="1"/>
    <col min="16" max="16" width="32.28515625" customWidth="1"/>
    <col min="17" max="19" width="3.7109375" customWidth="1"/>
    <col min="20" max="20" width="3.5703125" customWidth="1"/>
    <col min="21" max="21" width="4.5703125" customWidth="1"/>
    <col min="22" max="22" width="6.7109375" bestFit="1" customWidth="1"/>
    <col min="23" max="23" width="3.7109375" customWidth="1"/>
    <col min="24" max="24" width="4.7109375" customWidth="1"/>
    <col min="25" max="25" width="17.42578125" customWidth="1"/>
    <col min="26" max="26" width="12.7109375" customWidth="1"/>
    <col min="27" max="27" width="5.7109375" customWidth="1"/>
    <col min="28" max="28" width="10" hidden="1" customWidth="1"/>
  </cols>
  <sheetData>
    <row r="1" spans="1:28" ht="45.75" customHeight="1" thickBot="1">
      <c r="A1" s="184"/>
      <c r="B1" s="279" t="s">
        <v>493</v>
      </c>
      <c r="C1" s="252" t="s">
        <v>1393</v>
      </c>
      <c r="D1" s="252" t="s">
        <v>1394</v>
      </c>
      <c r="E1" s="252" t="s">
        <v>1395</v>
      </c>
      <c r="F1" s="252" t="s">
        <v>1396</v>
      </c>
      <c r="G1" s="260" t="s">
        <v>55</v>
      </c>
      <c r="H1" s="261"/>
      <c r="I1" s="261"/>
      <c r="J1" s="261"/>
      <c r="K1" s="261"/>
      <c r="L1" s="262"/>
      <c r="M1" s="156" t="s">
        <v>54</v>
      </c>
      <c r="N1" s="157"/>
      <c r="O1" s="158"/>
      <c r="P1" s="158"/>
      <c r="Q1" s="158"/>
      <c r="R1" s="158"/>
      <c r="S1" s="158"/>
      <c r="T1" s="159"/>
      <c r="U1" s="258" t="s">
        <v>53</v>
      </c>
      <c r="V1" s="259"/>
      <c r="W1" s="259"/>
      <c r="X1" s="259"/>
      <c r="Y1" s="263" t="s">
        <v>1227</v>
      </c>
      <c r="Z1" s="263"/>
      <c r="AA1" s="264"/>
    </row>
    <row r="2" spans="1:28" ht="35.25" customHeight="1" thickBot="1">
      <c r="A2" s="185">
        <v>1</v>
      </c>
      <c r="B2" s="281"/>
      <c r="C2" s="253"/>
      <c r="D2" s="253"/>
      <c r="E2" s="253"/>
      <c r="F2" s="253"/>
      <c r="G2" s="265" t="s">
        <v>734</v>
      </c>
      <c r="H2" s="266"/>
      <c r="I2" s="266"/>
      <c r="J2" s="266"/>
      <c r="K2" s="266"/>
      <c r="L2" s="267"/>
      <c r="M2" s="3" t="s">
        <v>0</v>
      </c>
      <c r="N2" s="117"/>
      <c r="O2" s="82" t="s">
        <v>47</v>
      </c>
      <c r="P2" s="82"/>
      <c r="Q2" s="4"/>
      <c r="R2" s="4"/>
      <c r="S2" s="4"/>
      <c r="T2" s="5"/>
      <c r="U2" s="256" t="s">
        <v>1</v>
      </c>
      <c r="V2" s="257"/>
      <c r="W2" s="257"/>
      <c r="X2" s="263" t="s">
        <v>1228</v>
      </c>
      <c r="Y2" s="263"/>
      <c r="Z2" s="263"/>
      <c r="AA2" s="264"/>
      <c r="AB2" s="62" t="b">
        <v>0</v>
      </c>
    </row>
    <row r="3" spans="1:28" ht="22.5" customHeight="1" thickBot="1">
      <c r="A3" s="186"/>
      <c r="B3" s="280"/>
      <c r="C3" s="253"/>
      <c r="D3" s="253"/>
      <c r="E3" s="253"/>
      <c r="F3" s="253"/>
      <c r="G3" s="268"/>
      <c r="H3" s="269"/>
      <c r="I3" s="269"/>
      <c r="J3" s="269"/>
      <c r="K3" s="269"/>
      <c r="L3" s="270"/>
      <c r="M3" s="7" t="s">
        <v>2</v>
      </c>
      <c r="N3" s="118"/>
      <c r="O3" s="118"/>
      <c r="P3" s="118"/>
      <c r="Q3" s="118"/>
      <c r="R3" s="118"/>
      <c r="S3" s="118"/>
      <c r="T3" s="119"/>
      <c r="U3" s="254" t="s">
        <v>3</v>
      </c>
      <c r="V3" s="255"/>
      <c r="W3" s="255"/>
      <c r="X3" s="255"/>
      <c r="Y3" s="263" t="s">
        <v>1217</v>
      </c>
      <c r="Z3" s="263"/>
      <c r="AA3" s="264"/>
      <c r="AB3" s="62" t="b">
        <v>1</v>
      </c>
    </row>
    <row r="4" spans="1:28" ht="41.65" customHeight="1" thickBot="1">
      <c r="A4" s="184"/>
      <c r="B4" s="279" t="s">
        <v>494</v>
      </c>
      <c r="C4" s="253" t="s">
        <v>1249</v>
      </c>
      <c r="D4" s="253" t="s">
        <v>1333</v>
      </c>
      <c r="E4" s="253" t="s">
        <v>1248</v>
      </c>
      <c r="F4" s="253" t="s">
        <v>1248</v>
      </c>
      <c r="G4" s="271"/>
      <c r="H4" s="272"/>
      <c r="I4" s="272"/>
      <c r="J4" s="272"/>
      <c r="K4" s="272"/>
      <c r="L4" s="273"/>
      <c r="M4" s="9" t="s">
        <v>4</v>
      </c>
      <c r="N4" s="120"/>
      <c r="O4" s="120"/>
      <c r="P4" s="120"/>
      <c r="Q4" s="120"/>
      <c r="R4" s="120"/>
      <c r="S4" s="120"/>
      <c r="T4" s="121"/>
      <c r="U4" s="143" t="s">
        <v>5</v>
      </c>
      <c r="V4" s="124"/>
      <c r="W4" s="263" t="s">
        <v>1217</v>
      </c>
      <c r="X4" s="263"/>
      <c r="Y4" s="263"/>
      <c r="Z4" s="263"/>
      <c r="AA4" s="264"/>
      <c r="AB4" s="62" t="b">
        <v>0</v>
      </c>
    </row>
    <row r="5" spans="1:28" ht="27" customHeight="1" thickBot="1">
      <c r="A5" s="187">
        <v>2</v>
      </c>
      <c r="B5" s="280"/>
      <c r="C5" s="253"/>
      <c r="D5" s="253"/>
      <c r="E5" s="253"/>
      <c r="F5" s="253"/>
      <c r="G5" s="11"/>
      <c r="H5" s="12" t="s">
        <v>6</v>
      </c>
      <c r="I5" s="13" t="s">
        <v>7</v>
      </c>
      <c r="J5" s="14"/>
      <c r="K5" s="14"/>
      <c r="L5" s="14"/>
      <c r="M5" s="14"/>
      <c r="N5" s="14"/>
      <c r="O5" s="15"/>
      <c r="P5" s="85"/>
      <c r="Q5" s="16" t="s">
        <v>8</v>
      </c>
      <c r="R5" s="17"/>
      <c r="S5" s="18" t="s">
        <v>9</v>
      </c>
      <c r="T5" s="19"/>
      <c r="U5" s="235" t="s">
        <v>50</v>
      </c>
      <c r="V5" s="236"/>
      <c r="W5" s="236"/>
      <c r="X5" s="236"/>
      <c r="Y5" s="236"/>
      <c r="Z5" s="236"/>
      <c r="AA5" s="237"/>
      <c r="AB5" s="62" t="b">
        <v>0</v>
      </c>
    </row>
    <row r="6" spans="1:28" ht="43.15" customHeight="1" thickBot="1">
      <c r="A6" s="188">
        <v>3</v>
      </c>
      <c r="B6" s="83" t="s">
        <v>10</v>
      </c>
      <c r="C6" s="135" t="s">
        <v>1334</v>
      </c>
      <c r="D6" s="135" t="s">
        <v>1335</v>
      </c>
      <c r="E6" s="135" t="s">
        <v>1336</v>
      </c>
      <c r="F6" s="135" t="s">
        <v>1337</v>
      </c>
      <c r="G6" s="21" t="s">
        <v>11</v>
      </c>
      <c r="H6" s="123" t="s">
        <v>12</v>
      </c>
      <c r="I6" s="45" t="s">
        <v>13</v>
      </c>
      <c r="J6" s="22" t="s">
        <v>14</v>
      </c>
      <c r="K6" s="76" t="s">
        <v>15</v>
      </c>
      <c r="L6" s="75" t="s">
        <v>16</v>
      </c>
      <c r="M6" s="77" t="s">
        <v>732</v>
      </c>
      <c r="N6" s="77" t="s">
        <v>733</v>
      </c>
      <c r="O6" s="75" t="s">
        <v>838</v>
      </c>
      <c r="P6" s="75" t="s">
        <v>839</v>
      </c>
      <c r="Q6" s="78" t="s">
        <v>17</v>
      </c>
      <c r="R6" s="79" t="s">
        <v>18</v>
      </c>
      <c r="S6" s="78" t="s">
        <v>17</v>
      </c>
      <c r="T6" s="79" t="s">
        <v>19</v>
      </c>
      <c r="U6" s="80" t="s">
        <v>841</v>
      </c>
      <c r="V6" s="80" t="s">
        <v>840</v>
      </c>
      <c r="W6" s="80" t="s">
        <v>20</v>
      </c>
      <c r="X6" s="81" t="s">
        <v>52</v>
      </c>
      <c r="Y6" s="80" t="s">
        <v>21</v>
      </c>
      <c r="Z6" s="23" t="s">
        <v>45</v>
      </c>
      <c r="AA6" s="161" t="s">
        <v>46</v>
      </c>
    </row>
    <row r="7" spans="1:28" ht="13.15" customHeight="1" thickBot="1">
      <c r="A7" s="189">
        <v>4</v>
      </c>
      <c r="B7" s="84" t="s">
        <v>22</v>
      </c>
      <c r="C7" s="137">
        <v>2</v>
      </c>
      <c r="D7" s="137">
        <v>2</v>
      </c>
      <c r="E7" s="137">
        <v>2</v>
      </c>
      <c r="F7" s="137">
        <v>2</v>
      </c>
      <c r="G7" s="24"/>
      <c r="H7" s="44">
        <v>7</v>
      </c>
      <c r="I7" s="44">
        <v>8</v>
      </c>
      <c r="J7" s="25">
        <v>9</v>
      </c>
      <c r="K7" s="44" t="s">
        <v>23</v>
      </c>
      <c r="L7" s="25" t="s">
        <v>24</v>
      </c>
      <c r="M7" s="44" t="s">
        <v>730</v>
      </c>
      <c r="N7" s="44" t="s">
        <v>731</v>
      </c>
      <c r="O7" s="44" t="s">
        <v>836</v>
      </c>
      <c r="P7" s="98" t="s">
        <v>837</v>
      </c>
      <c r="Q7" s="44">
        <v>13</v>
      </c>
      <c r="R7" s="26">
        <v>14</v>
      </c>
      <c r="S7" s="44">
        <v>15</v>
      </c>
      <c r="T7" s="26">
        <v>16</v>
      </c>
      <c r="U7" s="238">
        <v>17</v>
      </c>
      <c r="V7" s="239"/>
      <c r="W7" s="44">
        <v>18</v>
      </c>
      <c r="X7" s="26">
        <v>19</v>
      </c>
      <c r="Y7" s="44">
        <v>20</v>
      </c>
      <c r="Z7" s="26">
        <v>21</v>
      </c>
      <c r="AA7" s="163">
        <v>22</v>
      </c>
    </row>
    <row r="8" spans="1:28" ht="37.9" customHeight="1" thickBot="1">
      <c r="A8" s="190"/>
      <c r="B8" s="63"/>
      <c r="C8" s="110">
        <v>1</v>
      </c>
      <c r="D8" s="110">
        <v>1</v>
      </c>
      <c r="E8" s="110">
        <v>1</v>
      </c>
      <c r="F8" s="110">
        <v>1</v>
      </c>
      <c r="G8" s="41">
        <v>1</v>
      </c>
      <c r="H8" s="110" cm="1">
        <f t="array" ref="H8">IFERROR(SUM($C$7:$F$7*C8:F8),"")</f>
        <v>8</v>
      </c>
      <c r="I8" s="139" t="s">
        <v>1208</v>
      </c>
      <c r="J8" s="110" t="s">
        <v>1342</v>
      </c>
      <c r="K8" s="110" t="s">
        <v>1305</v>
      </c>
      <c r="L8" s="110" t="s">
        <v>1222</v>
      </c>
      <c r="M8" s="110" t="s">
        <v>1221</v>
      </c>
      <c r="N8" s="110" t="s">
        <v>811</v>
      </c>
      <c r="O8" s="110" t="s">
        <v>1217</v>
      </c>
      <c r="P8" s="110"/>
      <c r="Q8" s="110">
        <v>4</v>
      </c>
      <c r="R8" s="113"/>
      <c r="S8" s="110">
        <v>0</v>
      </c>
      <c r="T8" s="113"/>
      <c r="U8" s="110" t="s">
        <v>1106</v>
      </c>
      <c r="V8" s="207">
        <v>383.64446964754012</v>
      </c>
      <c r="W8" s="110">
        <v>14</v>
      </c>
      <c r="X8" s="113"/>
      <c r="Y8" s="110" t="s">
        <v>894</v>
      </c>
      <c r="Z8" s="213">
        <v>10632287</v>
      </c>
      <c r="AA8" s="197" t="s">
        <v>932</v>
      </c>
    </row>
    <row r="9" spans="1:28" ht="30.6" customHeight="1" thickBot="1">
      <c r="A9" s="192"/>
      <c r="B9" s="64"/>
      <c r="C9" s="110">
        <v>1</v>
      </c>
      <c r="D9" s="110">
        <v>1</v>
      </c>
      <c r="E9" s="110">
        <v>1</v>
      </c>
      <c r="F9" s="110">
        <v>1</v>
      </c>
      <c r="G9" s="41">
        <v>2</v>
      </c>
      <c r="H9" s="110" cm="1">
        <f t="array" ref="H9">IFERROR(SUM($C$7:$F$7*C9:F9),"")</f>
        <v>8</v>
      </c>
      <c r="I9" s="139" t="s">
        <v>1209</v>
      </c>
      <c r="J9" s="110" t="s">
        <v>1342</v>
      </c>
      <c r="K9" s="110" t="s">
        <v>1215</v>
      </c>
      <c r="L9" s="110" t="s">
        <v>1306</v>
      </c>
      <c r="M9" s="110" t="s">
        <v>1221</v>
      </c>
      <c r="N9" s="110" t="s">
        <v>811</v>
      </c>
      <c r="O9" s="110" t="s">
        <v>1217</v>
      </c>
      <c r="P9" s="110"/>
      <c r="Q9" s="110">
        <v>4</v>
      </c>
      <c r="R9" s="114"/>
      <c r="S9" s="110">
        <v>0</v>
      </c>
      <c r="T9" s="114"/>
      <c r="U9" s="110" t="s">
        <v>1106</v>
      </c>
      <c r="V9" s="207">
        <v>2557.5593880206002</v>
      </c>
      <c r="W9" s="110">
        <v>10</v>
      </c>
      <c r="X9" s="114"/>
      <c r="Y9" s="110" t="s">
        <v>894</v>
      </c>
      <c r="Z9" s="213">
        <v>10245681</v>
      </c>
      <c r="AA9" s="197" t="s">
        <v>932</v>
      </c>
    </row>
    <row r="10" spans="1:28" ht="36" customHeight="1" thickBot="1">
      <c r="A10" s="192"/>
      <c r="B10" s="65"/>
      <c r="C10" s="110">
        <v>1</v>
      </c>
      <c r="D10" s="110">
        <v>1</v>
      </c>
      <c r="E10" s="110">
        <v>1</v>
      </c>
      <c r="F10" s="110">
        <v>1</v>
      </c>
      <c r="G10" s="41">
        <v>3</v>
      </c>
      <c r="H10" s="110" cm="1">
        <f t="array" ref="H10">IFERROR(SUM($C$7:$F$7*C10:F10),"")</f>
        <v>8</v>
      </c>
      <c r="I10" s="139" t="s">
        <v>1300</v>
      </c>
      <c r="J10" s="110" t="s">
        <v>1342</v>
      </c>
      <c r="K10" s="110" t="s">
        <v>1307</v>
      </c>
      <c r="L10" s="110" t="s">
        <v>1308</v>
      </c>
      <c r="M10" s="110" t="s">
        <v>1220</v>
      </c>
      <c r="N10" s="110" t="s">
        <v>811</v>
      </c>
      <c r="O10" s="110" t="s">
        <v>1217</v>
      </c>
      <c r="P10" s="110"/>
      <c r="Q10" s="110">
        <v>4</v>
      </c>
      <c r="R10" s="114"/>
      <c r="S10" s="110">
        <v>0</v>
      </c>
      <c r="T10" s="114"/>
      <c r="U10" s="110" t="s">
        <v>1106</v>
      </c>
      <c r="V10" s="207">
        <v>380.83542188805353</v>
      </c>
      <c r="W10" s="110">
        <v>14</v>
      </c>
      <c r="X10" s="114"/>
      <c r="Y10" s="110" t="s">
        <v>894</v>
      </c>
      <c r="Z10" s="213">
        <v>10632283</v>
      </c>
      <c r="AA10" s="197" t="s">
        <v>932</v>
      </c>
    </row>
    <row r="11" spans="1:28" ht="37.15" customHeight="1" thickBot="1">
      <c r="A11" s="192"/>
      <c r="B11" s="65"/>
      <c r="C11" s="110">
        <v>1</v>
      </c>
      <c r="D11" s="110">
        <v>1</v>
      </c>
      <c r="E11" s="110">
        <v>1</v>
      </c>
      <c r="F11" s="110">
        <v>1</v>
      </c>
      <c r="G11" s="41">
        <v>4</v>
      </c>
      <c r="H11" s="110" cm="1">
        <f t="array" ref="H11">IFERROR(SUM($C$7:$F$7*C11:F11),"")</f>
        <v>8</v>
      </c>
      <c r="I11" s="139" t="s">
        <v>1300</v>
      </c>
      <c r="J11" s="110" t="s">
        <v>1342</v>
      </c>
      <c r="K11" s="110" t="s">
        <v>1309</v>
      </c>
      <c r="L11" s="110" t="s">
        <v>1310</v>
      </c>
      <c r="M11" s="110" t="s">
        <v>1220</v>
      </c>
      <c r="N11" s="110" t="s">
        <v>811</v>
      </c>
      <c r="O11" s="110" t="s">
        <v>1217</v>
      </c>
      <c r="P11" s="110"/>
      <c r="Q11" s="110">
        <v>4</v>
      </c>
      <c r="R11" s="115"/>
      <c r="S11" s="110">
        <v>0</v>
      </c>
      <c r="T11" s="115"/>
      <c r="U11" s="110" t="s">
        <v>1106</v>
      </c>
      <c r="V11" s="207">
        <v>535.55555555555554</v>
      </c>
      <c r="W11" s="110">
        <v>14</v>
      </c>
      <c r="X11" s="115"/>
      <c r="Y11" s="110" t="s">
        <v>894</v>
      </c>
      <c r="Z11" s="213">
        <v>10632284</v>
      </c>
      <c r="AA11" s="197" t="s">
        <v>932</v>
      </c>
    </row>
    <row r="12" spans="1:28" ht="31.9" customHeight="1" thickBot="1">
      <c r="A12" s="192"/>
      <c r="B12" s="65"/>
      <c r="C12" s="110">
        <v>1</v>
      </c>
      <c r="D12" s="110">
        <v>1</v>
      </c>
      <c r="E12" s="110">
        <v>1</v>
      </c>
      <c r="F12" s="110">
        <v>1</v>
      </c>
      <c r="G12" s="56">
        <v>5</v>
      </c>
      <c r="H12" s="110" cm="1">
        <f t="array" ref="H12">IFERROR(SUM($C$7:$F$7*C12:F12),"")</f>
        <v>8</v>
      </c>
      <c r="I12" s="139" t="s">
        <v>1210</v>
      </c>
      <c r="J12" s="110" t="s">
        <v>1342</v>
      </c>
      <c r="K12" s="110" t="s">
        <v>1216</v>
      </c>
      <c r="L12" s="110" t="s">
        <v>1311</v>
      </c>
      <c r="M12" s="110" t="s">
        <v>1221</v>
      </c>
      <c r="N12" s="110" t="s">
        <v>811</v>
      </c>
      <c r="O12" s="110" t="s">
        <v>1217</v>
      </c>
      <c r="P12" s="110"/>
      <c r="Q12" s="110">
        <v>4</v>
      </c>
      <c r="R12" s="115"/>
      <c r="S12" s="110">
        <v>0</v>
      </c>
      <c r="T12" s="115"/>
      <c r="U12" s="110" t="s">
        <v>1106</v>
      </c>
      <c r="V12" s="207">
        <v>264.32748538011697</v>
      </c>
      <c r="W12" s="110">
        <v>12</v>
      </c>
      <c r="X12" s="115"/>
      <c r="Y12" s="110" t="s">
        <v>894</v>
      </c>
      <c r="Z12" s="213">
        <v>10617318</v>
      </c>
      <c r="AA12" s="197" t="s">
        <v>932</v>
      </c>
    </row>
    <row r="13" spans="1:28" ht="33.75" thickBot="1">
      <c r="A13" s="192"/>
      <c r="B13" s="65"/>
      <c r="C13" s="110">
        <v>0</v>
      </c>
      <c r="D13" s="110">
        <v>0</v>
      </c>
      <c r="E13" s="110">
        <v>1</v>
      </c>
      <c r="F13" s="110">
        <v>1</v>
      </c>
      <c r="G13" s="41">
        <v>6</v>
      </c>
      <c r="H13" s="110" cm="1">
        <f t="array" ref="H13">IFERROR(SUM($C$7:$F$7*C13:F13),"")</f>
        <v>4</v>
      </c>
      <c r="I13" s="139" t="s">
        <v>1211</v>
      </c>
      <c r="J13" s="110" t="s">
        <v>1343</v>
      </c>
      <c r="K13" s="110" t="s">
        <v>1312</v>
      </c>
      <c r="L13" s="110" t="s">
        <v>1223</v>
      </c>
      <c r="M13" s="110" t="s">
        <v>1224</v>
      </c>
      <c r="N13" s="110" t="s">
        <v>811</v>
      </c>
      <c r="O13" s="110" t="s">
        <v>1217</v>
      </c>
      <c r="P13" s="110"/>
      <c r="Q13" s="110">
        <v>2</v>
      </c>
      <c r="R13" s="113"/>
      <c r="S13" s="110">
        <v>0</v>
      </c>
      <c r="T13" s="113"/>
      <c r="U13" s="110" t="s">
        <v>1106</v>
      </c>
      <c r="V13" s="207">
        <v>3711.8803594803248</v>
      </c>
      <c r="W13" s="110">
        <v>18</v>
      </c>
      <c r="X13" s="113"/>
      <c r="Y13" s="110" t="s">
        <v>894</v>
      </c>
      <c r="Z13" s="213">
        <v>10632272</v>
      </c>
      <c r="AA13" s="197" t="s">
        <v>932</v>
      </c>
    </row>
    <row r="14" spans="1:28" ht="33.75" thickBot="1">
      <c r="A14" s="192"/>
      <c r="B14" s="65"/>
      <c r="C14" s="110">
        <v>1</v>
      </c>
      <c r="D14" s="110">
        <v>1</v>
      </c>
      <c r="E14" s="110">
        <v>0</v>
      </c>
      <c r="F14" s="110">
        <v>0</v>
      </c>
      <c r="G14" s="41">
        <v>7</v>
      </c>
      <c r="H14" s="110" cm="1">
        <f t="array" ref="H14">IFERROR(SUM($C$7:$F$7*C14:F14),"")</f>
        <v>4</v>
      </c>
      <c r="I14" s="139" t="s">
        <v>1211</v>
      </c>
      <c r="J14" s="110" t="s">
        <v>1341</v>
      </c>
      <c r="K14" s="110" t="s">
        <v>1313</v>
      </c>
      <c r="L14" s="110" t="s">
        <v>1223</v>
      </c>
      <c r="M14" s="110" t="s">
        <v>1224</v>
      </c>
      <c r="N14" s="110" t="s">
        <v>811</v>
      </c>
      <c r="O14" s="110" t="s">
        <v>1217</v>
      </c>
      <c r="P14" s="110"/>
      <c r="Q14" s="110">
        <v>2</v>
      </c>
      <c r="R14" s="114"/>
      <c r="S14" s="110">
        <v>0</v>
      </c>
      <c r="T14" s="114"/>
      <c r="U14" s="110" t="s">
        <v>1106</v>
      </c>
      <c r="V14" s="207">
        <v>3711.8803594803248</v>
      </c>
      <c r="W14" s="110">
        <v>18</v>
      </c>
      <c r="X14" s="114"/>
      <c r="Y14" s="110" t="s">
        <v>894</v>
      </c>
      <c r="Z14" s="213">
        <v>10632273</v>
      </c>
      <c r="AA14" s="197" t="s">
        <v>932</v>
      </c>
    </row>
    <row r="15" spans="1:28" ht="33.75" thickBot="1">
      <c r="A15" s="192"/>
      <c r="B15" s="66" t="s">
        <v>6</v>
      </c>
      <c r="C15" s="110">
        <v>0</v>
      </c>
      <c r="D15" s="110">
        <v>0</v>
      </c>
      <c r="E15" s="110">
        <v>1</v>
      </c>
      <c r="F15" s="110">
        <v>2</v>
      </c>
      <c r="G15" s="41">
        <v>8</v>
      </c>
      <c r="H15" s="110" cm="1">
        <f t="array" ref="H15">IFERROR(SUM($C$7:$F$7*C15:F15),"")</f>
        <v>6</v>
      </c>
      <c r="I15" s="139" t="s">
        <v>1301</v>
      </c>
      <c r="J15" s="110" t="s">
        <v>1343</v>
      </c>
      <c r="K15" s="110" t="s">
        <v>1314</v>
      </c>
      <c r="L15" s="110" t="s">
        <v>1315</v>
      </c>
      <c r="M15" s="110" t="s">
        <v>1263</v>
      </c>
      <c r="N15" s="110" t="s">
        <v>811</v>
      </c>
      <c r="O15" s="110" t="s">
        <v>1217</v>
      </c>
      <c r="P15" s="110"/>
      <c r="Q15" s="110">
        <v>3</v>
      </c>
      <c r="R15" s="114"/>
      <c r="S15" s="110">
        <v>0</v>
      </c>
      <c r="T15" s="114"/>
      <c r="U15" s="110" t="s">
        <v>1106</v>
      </c>
      <c r="V15" s="207">
        <v>430.68994882207642</v>
      </c>
      <c r="W15" s="110">
        <v>18</v>
      </c>
      <c r="X15" s="114"/>
      <c r="Y15" s="110" t="s">
        <v>894</v>
      </c>
      <c r="Z15" s="213">
        <v>10632288</v>
      </c>
      <c r="AA15" s="197" t="s">
        <v>932</v>
      </c>
    </row>
    <row r="16" spans="1:28" ht="33.75" thickBot="1">
      <c r="A16" s="192"/>
      <c r="B16" s="67" t="s">
        <v>6</v>
      </c>
      <c r="C16" s="110">
        <v>0</v>
      </c>
      <c r="D16" s="110">
        <v>0</v>
      </c>
      <c r="E16" s="110">
        <v>1</v>
      </c>
      <c r="F16" s="110">
        <v>1</v>
      </c>
      <c r="G16" s="41">
        <v>9</v>
      </c>
      <c r="H16" s="110" cm="1">
        <f t="array" ref="H16">IFERROR(SUM($C$7:$F$7*C16:F16),"")</f>
        <v>4</v>
      </c>
      <c r="I16" s="139" t="s">
        <v>1302</v>
      </c>
      <c r="J16" s="110" t="s">
        <v>1343</v>
      </c>
      <c r="K16" s="110" t="s">
        <v>1316</v>
      </c>
      <c r="L16" s="110" t="s">
        <v>1317</v>
      </c>
      <c r="M16" s="110" t="s">
        <v>1220</v>
      </c>
      <c r="N16" s="110" t="s">
        <v>811</v>
      </c>
      <c r="O16" s="110" t="s">
        <v>1217</v>
      </c>
      <c r="P16" s="110"/>
      <c r="Q16" s="110">
        <v>2</v>
      </c>
      <c r="R16" s="114"/>
      <c r="S16" s="110">
        <v>0</v>
      </c>
      <c r="T16" s="114"/>
      <c r="U16" s="110" t="s">
        <v>1106</v>
      </c>
      <c r="V16" s="207">
        <v>165.68265980993215</v>
      </c>
      <c r="W16" s="110">
        <v>14</v>
      </c>
      <c r="X16" s="114"/>
      <c r="Y16" s="110" t="s">
        <v>894</v>
      </c>
      <c r="Z16" s="213">
        <v>10632278</v>
      </c>
      <c r="AA16" s="197" t="s">
        <v>932</v>
      </c>
    </row>
    <row r="17" spans="1:27" ht="33.6" customHeight="1" thickBot="1">
      <c r="A17" s="192"/>
      <c r="B17" s="65"/>
      <c r="C17" s="110">
        <v>1</v>
      </c>
      <c r="D17" s="110">
        <v>1</v>
      </c>
      <c r="E17" s="110">
        <v>1</v>
      </c>
      <c r="F17" s="110">
        <v>1</v>
      </c>
      <c r="G17" s="56">
        <v>10</v>
      </c>
      <c r="H17" s="110" cm="1">
        <f t="array" ref="H17">IFERROR(SUM($C$7:$F$7*C17:F17),"")</f>
        <v>8</v>
      </c>
      <c r="I17" s="139" t="s">
        <v>1212</v>
      </c>
      <c r="J17" s="110" t="s">
        <v>1342</v>
      </c>
      <c r="K17" s="110" t="s">
        <v>1318</v>
      </c>
      <c r="L17" s="110" t="s">
        <v>1319</v>
      </c>
      <c r="M17" s="110" t="s">
        <v>1220</v>
      </c>
      <c r="N17" s="110" t="s">
        <v>811</v>
      </c>
      <c r="O17" s="110" t="s">
        <v>1217</v>
      </c>
      <c r="P17" s="110"/>
      <c r="Q17" s="110">
        <v>4</v>
      </c>
      <c r="R17" s="115"/>
      <c r="S17" s="110">
        <v>0</v>
      </c>
      <c r="T17" s="115"/>
      <c r="U17" s="110" t="s">
        <v>1106</v>
      </c>
      <c r="V17" s="207">
        <v>251.09834179959435</v>
      </c>
      <c r="W17" s="110">
        <v>14</v>
      </c>
      <c r="X17" s="115"/>
      <c r="Y17" s="110" t="s">
        <v>894</v>
      </c>
      <c r="Z17" s="213">
        <v>10632270</v>
      </c>
      <c r="AA17" s="197" t="s">
        <v>932</v>
      </c>
    </row>
    <row r="18" spans="1:27" ht="36" customHeight="1" thickBot="1">
      <c r="A18" s="193">
        <v>5</v>
      </c>
      <c r="B18" s="68" t="s">
        <v>25</v>
      </c>
      <c r="C18" s="110">
        <v>1</v>
      </c>
      <c r="D18" s="110">
        <v>1</v>
      </c>
      <c r="E18" s="110">
        <v>1</v>
      </c>
      <c r="F18" s="110">
        <v>1</v>
      </c>
      <c r="G18" s="41">
        <v>11</v>
      </c>
      <c r="H18" s="110" cm="1">
        <f t="array" ref="H18">IFERROR(SUM($C$7:$F$7*C18:F18),"")</f>
        <v>8</v>
      </c>
      <c r="I18" s="139" t="s">
        <v>1213</v>
      </c>
      <c r="J18" s="110" t="s">
        <v>1342</v>
      </c>
      <c r="K18" s="110" t="s">
        <v>1320</v>
      </c>
      <c r="L18" s="110" t="s">
        <v>1321</v>
      </c>
      <c r="M18" s="110" t="s">
        <v>1221</v>
      </c>
      <c r="N18" s="110" t="s">
        <v>811</v>
      </c>
      <c r="O18" s="110" t="s">
        <v>1217</v>
      </c>
      <c r="P18" s="110"/>
      <c r="Q18" s="110">
        <v>4</v>
      </c>
      <c r="R18" s="113"/>
      <c r="S18" s="110">
        <v>0</v>
      </c>
      <c r="T18" s="113"/>
      <c r="U18" s="110" t="s">
        <v>1106</v>
      </c>
      <c r="V18" s="207">
        <v>51.143794749296987</v>
      </c>
      <c r="W18" s="110">
        <v>14</v>
      </c>
      <c r="X18" s="113"/>
      <c r="Y18" s="110" t="s">
        <v>894</v>
      </c>
      <c r="Z18" s="213">
        <v>10245694</v>
      </c>
      <c r="AA18" s="197" t="s">
        <v>932</v>
      </c>
    </row>
    <row r="19" spans="1:27" ht="33.75" thickBot="1">
      <c r="A19" s="192"/>
      <c r="B19" s="69" t="s">
        <v>26</v>
      </c>
      <c r="C19" s="110">
        <v>0</v>
      </c>
      <c r="D19" s="110">
        <v>0</v>
      </c>
      <c r="E19" s="110">
        <v>2</v>
      </c>
      <c r="F19" s="110">
        <v>4</v>
      </c>
      <c r="G19" s="41">
        <v>12</v>
      </c>
      <c r="H19" s="110" cm="1">
        <f t="array" ref="H19">IFERROR(SUM($C$7:$F$7*C19:F19),"")</f>
        <v>12</v>
      </c>
      <c r="I19" s="139" t="s">
        <v>1214</v>
      </c>
      <c r="J19" s="110" t="s">
        <v>1343</v>
      </c>
      <c r="K19" s="110" t="s">
        <v>1322</v>
      </c>
      <c r="L19" s="110" t="s">
        <v>1323</v>
      </c>
      <c r="M19" s="110" t="s">
        <v>1220</v>
      </c>
      <c r="N19" s="110" t="s">
        <v>811</v>
      </c>
      <c r="O19" s="110" t="s">
        <v>1217</v>
      </c>
      <c r="P19" s="110"/>
      <c r="Q19" s="110">
        <v>6</v>
      </c>
      <c r="R19" s="114"/>
      <c r="S19" s="110">
        <v>0</v>
      </c>
      <c r="T19" s="114"/>
      <c r="U19" s="110" t="s">
        <v>1106</v>
      </c>
      <c r="V19" s="207">
        <v>284.81575320633277</v>
      </c>
      <c r="W19" s="110">
        <v>12</v>
      </c>
      <c r="X19" s="114"/>
      <c r="Y19" s="110" t="s">
        <v>894</v>
      </c>
      <c r="Z19" s="213">
        <v>10632280</v>
      </c>
      <c r="AA19" s="197" t="s">
        <v>932</v>
      </c>
    </row>
    <row r="20" spans="1:27" ht="37.9" customHeight="1" thickBot="1">
      <c r="A20" s="192"/>
      <c r="B20" s="68" t="s">
        <v>27</v>
      </c>
      <c r="C20" s="110">
        <v>1</v>
      </c>
      <c r="D20" s="110">
        <v>1</v>
      </c>
      <c r="E20" s="110">
        <v>1</v>
      </c>
      <c r="F20" s="110">
        <v>1</v>
      </c>
      <c r="G20" s="41">
        <v>13</v>
      </c>
      <c r="H20" s="110" cm="1">
        <f t="array" ref="H20">IFERROR(SUM($C$7:$F$7*C20:F20),"")</f>
        <v>8</v>
      </c>
      <c r="I20" s="139" t="s">
        <v>1214</v>
      </c>
      <c r="J20" s="110" t="s">
        <v>1342</v>
      </c>
      <c r="K20" s="110" t="s">
        <v>1324</v>
      </c>
      <c r="L20" s="110" t="s">
        <v>1325</v>
      </c>
      <c r="M20" s="110" t="s">
        <v>1220</v>
      </c>
      <c r="N20" s="110" t="s">
        <v>811</v>
      </c>
      <c r="O20" s="110" t="s">
        <v>1217</v>
      </c>
      <c r="P20" s="110"/>
      <c r="Q20" s="110">
        <v>4</v>
      </c>
      <c r="R20" s="114"/>
      <c r="S20" s="110">
        <v>0</v>
      </c>
      <c r="T20" s="114"/>
      <c r="U20" s="110" t="s">
        <v>1106</v>
      </c>
      <c r="V20" s="207">
        <v>69.758340592484586</v>
      </c>
      <c r="W20" s="110">
        <v>12</v>
      </c>
      <c r="X20" s="114"/>
      <c r="Y20" s="110" t="s">
        <v>894</v>
      </c>
      <c r="Z20" s="213">
        <v>10632281</v>
      </c>
      <c r="AA20" s="197" t="s">
        <v>932</v>
      </c>
    </row>
    <row r="21" spans="1:27" ht="33.75" thickBot="1">
      <c r="A21" s="192"/>
      <c r="B21" s="69" t="s">
        <v>28</v>
      </c>
      <c r="C21" s="110">
        <v>0</v>
      </c>
      <c r="D21" s="110">
        <v>0</v>
      </c>
      <c r="E21" s="110">
        <v>1</v>
      </c>
      <c r="F21" s="110">
        <v>1</v>
      </c>
      <c r="G21" s="41">
        <v>14</v>
      </c>
      <c r="H21" s="110" cm="1">
        <f t="array" ref="H21">IFERROR(SUM($C$7:$F$7*C21:F21),"")</f>
        <v>4</v>
      </c>
      <c r="I21" s="139" t="s">
        <v>1214</v>
      </c>
      <c r="J21" s="110" t="s">
        <v>1343</v>
      </c>
      <c r="K21" s="110" t="s">
        <v>1326</v>
      </c>
      <c r="L21" s="110" t="s">
        <v>1225</v>
      </c>
      <c r="M21" s="110" t="s">
        <v>1327</v>
      </c>
      <c r="N21" s="110" t="s">
        <v>811</v>
      </c>
      <c r="O21" s="110" t="s">
        <v>1217</v>
      </c>
      <c r="P21" s="110"/>
      <c r="Q21" s="110">
        <v>2</v>
      </c>
      <c r="R21" s="114"/>
      <c r="S21" s="110">
        <v>0</v>
      </c>
      <c r="T21" s="114"/>
      <c r="U21" s="110" t="s">
        <v>1106</v>
      </c>
      <c r="V21" s="207">
        <v>28.67167919799499</v>
      </c>
      <c r="W21" s="110">
        <v>12</v>
      </c>
      <c r="X21" s="114"/>
      <c r="Y21" s="110" t="s">
        <v>894</v>
      </c>
      <c r="Z21" s="213">
        <v>10632282</v>
      </c>
      <c r="AA21" s="197" t="s">
        <v>932</v>
      </c>
    </row>
    <row r="22" spans="1:27" ht="33.75" thickBot="1">
      <c r="A22" s="192"/>
      <c r="B22" s="68" t="s">
        <v>29</v>
      </c>
      <c r="C22" s="110">
        <v>0</v>
      </c>
      <c r="D22" s="110">
        <v>0</v>
      </c>
      <c r="E22" s="110">
        <v>1</v>
      </c>
      <c r="F22" s="110">
        <v>1</v>
      </c>
      <c r="G22" s="56">
        <v>15</v>
      </c>
      <c r="H22" s="110" cm="1">
        <f t="array" ref="H22">IFERROR(SUM($C$7:$F$7*C22:F22),"")</f>
        <v>4</v>
      </c>
      <c r="I22" s="139" t="s">
        <v>1214</v>
      </c>
      <c r="J22" s="110" t="s">
        <v>1343</v>
      </c>
      <c r="K22" s="110" t="s">
        <v>1328</v>
      </c>
      <c r="L22" s="110" t="s">
        <v>1226</v>
      </c>
      <c r="M22" s="110" t="s">
        <v>1220</v>
      </c>
      <c r="N22" s="110" t="s">
        <v>811</v>
      </c>
      <c r="O22" s="110" t="s">
        <v>1217</v>
      </c>
      <c r="P22" s="110"/>
      <c r="Q22" s="110">
        <v>2</v>
      </c>
      <c r="R22" s="115"/>
      <c r="S22" s="110">
        <v>0</v>
      </c>
      <c r="T22" s="115"/>
      <c r="U22" s="110" t="s">
        <v>1106</v>
      </c>
      <c r="V22" s="207">
        <v>373.16223603087985</v>
      </c>
      <c r="W22" s="110">
        <v>12</v>
      </c>
      <c r="X22" s="115"/>
      <c r="Y22" s="110" t="s">
        <v>894</v>
      </c>
      <c r="Z22" s="213">
        <v>10632279</v>
      </c>
      <c r="AA22" s="197" t="s">
        <v>932</v>
      </c>
    </row>
    <row r="23" spans="1:27" ht="13.5" thickBot="1">
      <c r="A23" s="192"/>
      <c r="B23" s="69" t="s">
        <v>30</v>
      </c>
      <c r="C23" s="104"/>
      <c r="D23" s="105"/>
      <c r="E23" s="105"/>
      <c r="F23" s="106"/>
      <c r="G23" s="41">
        <v>16</v>
      </c>
      <c r="H23" s="110"/>
      <c r="I23" s="110"/>
      <c r="J23" s="110"/>
      <c r="K23" s="110"/>
      <c r="L23" s="110"/>
      <c r="M23" s="110"/>
      <c r="N23" s="110"/>
      <c r="O23" s="110"/>
      <c r="P23" s="110"/>
      <c r="Q23" s="110"/>
      <c r="R23" s="113"/>
      <c r="S23" s="52"/>
      <c r="T23" s="113"/>
      <c r="U23" s="93"/>
      <c r="V23" s="53"/>
      <c r="W23" s="90"/>
      <c r="X23" s="113"/>
      <c r="Y23" s="95"/>
      <c r="Z23" s="113"/>
      <c r="AA23" s="198"/>
    </row>
    <row r="24" spans="1:27" ht="13.5" thickBot="1">
      <c r="A24" s="192"/>
      <c r="B24" s="70" t="s">
        <v>31</v>
      </c>
      <c r="C24" s="104"/>
      <c r="D24" s="105"/>
      <c r="E24" s="105"/>
      <c r="F24" s="106"/>
      <c r="G24" s="41">
        <v>17</v>
      </c>
      <c r="H24" s="111"/>
      <c r="I24" s="110"/>
      <c r="J24" s="110"/>
      <c r="K24" s="110"/>
      <c r="L24" s="110"/>
      <c r="M24" s="110"/>
      <c r="N24" s="110"/>
      <c r="O24" s="110"/>
      <c r="P24" s="110"/>
      <c r="Q24" s="110"/>
      <c r="R24" s="114"/>
      <c r="S24" s="57"/>
      <c r="T24" s="114"/>
      <c r="U24" s="92"/>
      <c r="V24" s="59"/>
      <c r="W24" s="99"/>
      <c r="X24" s="114"/>
      <c r="Y24" s="96"/>
      <c r="Z24" s="114"/>
      <c r="AA24" s="199"/>
    </row>
    <row r="25" spans="1:27" ht="13.5" thickBot="1">
      <c r="A25" s="192"/>
      <c r="B25" s="70" t="s">
        <v>32</v>
      </c>
      <c r="C25" s="104"/>
      <c r="D25" s="105"/>
      <c r="E25" s="105"/>
      <c r="F25" s="106"/>
      <c r="G25" s="41">
        <v>18</v>
      </c>
      <c r="H25" s="111"/>
      <c r="I25" s="74"/>
      <c r="J25" s="57"/>
      <c r="K25" s="57"/>
      <c r="L25" s="57"/>
      <c r="M25" s="55"/>
      <c r="N25" s="55"/>
      <c r="O25" s="57"/>
      <c r="P25" s="57"/>
      <c r="Q25" s="57"/>
      <c r="R25" s="114"/>
      <c r="S25" s="57"/>
      <c r="T25" s="114"/>
      <c r="U25" s="92"/>
      <c r="V25" s="59"/>
      <c r="W25" s="99"/>
      <c r="X25" s="114"/>
      <c r="Y25" s="96"/>
      <c r="Z25" s="114"/>
      <c r="AA25" s="199"/>
    </row>
    <row r="26" spans="1:27" ht="13.5" thickBot="1">
      <c r="A26" s="192"/>
      <c r="B26" s="70" t="s">
        <v>6</v>
      </c>
      <c r="C26" s="104"/>
      <c r="D26" s="105"/>
      <c r="E26" s="105"/>
      <c r="F26" s="106"/>
      <c r="G26" s="41">
        <v>19</v>
      </c>
      <c r="H26" s="111"/>
      <c r="I26" s="74"/>
      <c r="J26" s="57"/>
      <c r="K26" s="57"/>
      <c r="L26" s="57"/>
      <c r="M26" s="55"/>
      <c r="N26" s="55"/>
      <c r="O26" s="58"/>
      <c r="P26" s="57"/>
      <c r="Q26" s="57"/>
      <c r="R26" s="114"/>
      <c r="S26" s="57"/>
      <c r="T26" s="114"/>
      <c r="U26" s="92"/>
      <c r="V26" s="59"/>
      <c r="W26" s="99"/>
      <c r="X26" s="114"/>
      <c r="Y26" s="96"/>
      <c r="Z26" s="114"/>
      <c r="AA26" s="199"/>
    </row>
    <row r="27" spans="1:27" ht="13.5" thickBot="1">
      <c r="A27" s="192"/>
      <c r="B27" s="64"/>
      <c r="C27" s="104"/>
      <c r="D27" s="105"/>
      <c r="E27" s="105"/>
      <c r="F27" s="106"/>
      <c r="G27" s="56">
        <v>20</v>
      </c>
      <c r="H27" s="112"/>
      <c r="I27" s="73"/>
      <c r="J27" s="60"/>
      <c r="K27" s="60"/>
      <c r="L27" s="60"/>
      <c r="M27" s="54"/>
      <c r="N27" s="54"/>
      <c r="O27" s="60"/>
      <c r="P27" s="60"/>
      <c r="Q27" s="60"/>
      <c r="R27" s="115"/>
      <c r="S27" s="60"/>
      <c r="T27" s="115"/>
      <c r="U27" s="91"/>
      <c r="V27" s="61"/>
      <c r="W27" s="100"/>
      <c r="X27" s="115"/>
      <c r="Y27" s="97"/>
      <c r="Z27" s="115"/>
      <c r="AA27" s="195"/>
    </row>
    <row r="28" spans="1:27" ht="13.5" thickBot="1">
      <c r="A28" s="192"/>
      <c r="B28" s="71"/>
      <c r="C28" s="101"/>
      <c r="D28" s="102"/>
      <c r="E28" s="102"/>
      <c r="F28" s="103"/>
      <c r="G28" s="41">
        <v>21</v>
      </c>
      <c r="H28" s="110"/>
      <c r="I28" s="72"/>
      <c r="J28" s="52"/>
      <c r="K28" s="52"/>
      <c r="L28" s="52"/>
      <c r="M28" s="51"/>
      <c r="N28" s="51"/>
      <c r="O28" s="52"/>
      <c r="P28" s="52"/>
      <c r="Q28" s="52"/>
      <c r="R28" s="113"/>
      <c r="S28" s="52"/>
      <c r="T28" s="113"/>
      <c r="U28" s="93"/>
      <c r="V28" s="53"/>
      <c r="W28" s="90"/>
      <c r="X28" s="113"/>
      <c r="Y28" s="95"/>
      <c r="Z28" s="113"/>
      <c r="AA28" s="198"/>
    </row>
    <row r="29" spans="1:27" ht="13.5" thickBot="1">
      <c r="A29" s="192"/>
      <c r="B29" s="71"/>
      <c r="C29" s="104"/>
      <c r="D29" s="105"/>
      <c r="E29" s="105"/>
      <c r="F29" s="106"/>
      <c r="G29" s="41">
        <v>22</v>
      </c>
      <c r="H29" s="111"/>
      <c r="I29" s="74"/>
      <c r="J29" s="57"/>
      <c r="K29" s="57"/>
      <c r="L29" s="57"/>
      <c r="M29" s="55"/>
      <c r="N29" s="55"/>
      <c r="O29" s="57"/>
      <c r="P29" s="57"/>
      <c r="Q29" s="57"/>
      <c r="R29" s="114"/>
      <c r="S29" s="57"/>
      <c r="T29" s="114"/>
      <c r="U29" s="92"/>
      <c r="V29" s="59"/>
      <c r="W29" s="99"/>
      <c r="X29" s="114"/>
      <c r="Y29" s="96"/>
      <c r="Z29" s="114"/>
      <c r="AA29" s="199"/>
    </row>
    <row r="30" spans="1:27" ht="13.5" thickBot="1">
      <c r="A30" s="192"/>
      <c r="B30" s="71"/>
      <c r="C30" s="104"/>
      <c r="D30" s="105"/>
      <c r="E30" s="105"/>
      <c r="F30" s="106"/>
      <c r="G30" s="41">
        <v>23</v>
      </c>
      <c r="H30" s="111"/>
      <c r="I30" s="74"/>
      <c r="J30" s="57"/>
      <c r="K30" s="57"/>
      <c r="L30" s="57"/>
      <c r="M30" s="55"/>
      <c r="N30" s="55"/>
      <c r="O30" s="57"/>
      <c r="P30" s="57"/>
      <c r="Q30" s="57"/>
      <c r="R30" s="114"/>
      <c r="S30" s="57"/>
      <c r="T30" s="114"/>
      <c r="U30" s="92"/>
      <c r="V30" s="59"/>
      <c r="W30" s="99"/>
      <c r="X30" s="114"/>
      <c r="Y30" s="96"/>
      <c r="Z30" s="114"/>
      <c r="AA30" s="199"/>
    </row>
    <row r="31" spans="1:27" ht="13.5" thickBot="1">
      <c r="A31" s="192"/>
      <c r="B31" s="71"/>
      <c r="C31" s="107"/>
      <c r="D31" s="108"/>
      <c r="E31" s="108"/>
      <c r="F31" s="109"/>
      <c r="G31" s="56">
        <v>24</v>
      </c>
      <c r="H31" s="112"/>
      <c r="I31" s="73"/>
      <c r="J31" s="60"/>
      <c r="K31" s="60"/>
      <c r="L31" s="60"/>
      <c r="M31" s="54"/>
      <c r="N31" s="54"/>
      <c r="O31" s="89"/>
      <c r="P31" s="86"/>
      <c r="Q31" s="87"/>
      <c r="R31" s="116"/>
      <c r="S31" s="86"/>
      <c r="T31" s="116"/>
      <c r="U31" s="94"/>
      <c r="V31" s="88"/>
      <c r="W31" s="100"/>
      <c r="X31" s="115"/>
      <c r="Y31" s="97"/>
      <c r="Z31" s="115"/>
      <c r="AA31" s="195"/>
    </row>
    <row r="32" spans="1:27" ht="22.9" customHeight="1" thickBot="1">
      <c r="A32" s="184" t="s">
        <v>6</v>
      </c>
      <c r="B32" s="27" t="s">
        <v>6</v>
      </c>
      <c r="C32" s="230" t="s">
        <v>1344</v>
      </c>
      <c r="D32" s="230" t="s">
        <v>1345</v>
      </c>
      <c r="E32" s="230" t="s">
        <v>1346</v>
      </c>
      <c r="F32" s="230" t="s">
        <v>1347</v>
      </c>
      <c r="G32" s="276"/>
      <c r="H32" s="232"/>
      <c r="I32" s="28" t="s">
        <v>33</v>
      </c>
      <c r="J32" s="130" t="s">
        <v>1229</v>
      </c>
      <c r="K32" s="222" t="s">
        <v>51</v>
      </c>
      <c r="L32" s="223"/>
      <c r="M32" s="223"/>
      <c r="N32" s="223"/>
      <c r="O32" s="224"/>
      <c r="P32" s="240" t="s">
        <v>1125</v>
      </c>
      <c r="Q32" s="241"/>
      <c r="R32" s="241"/>
      <c r="S32" s="241"/>
      <c r="T32" s="241"/>
      <c r="U32" s="241"/>
      <c r="V32" s="242"/>
      <c r="W32" s="29" t="s">
        <v>34</v>
      </c>
      <c r="X32" s="30"/>
      <c r="Y32" s="217" t="s">
        <v>1383</v>
      </c>
      <c r="Z32" s="218"/>
      <c r="AA32" s="219"/>
    </row>
    <row r="33" spans="1:27" ht="17.100000000000001" customHeight="1" thickTop="1" thickBot="1">
      <c r="A33" s="185"/>
      <c r="B33" s="43" t="s">
        <v>35</v>
      </c>
      <c r="C33" s="230"/>
      <c r="D33" s="230"/>
      <c r="E33" s="230"/>
      <c r="F33" s="230"/>
      <c r="G33" s="277"/>
      <c r="H33" s="233"/>
      <c r="I33" s="32" t="s">
        <v>36</v>
      </c>
      <c r="J33" s="130" t="s">
        <v>1230</v>
      </c>
      <c r="K33" s="142" t="s">
        <v>1231</v>
      </c>
      <c r="L33" s="225" t="s">
        <v>1232</v>
      </c>
      <c r="M33" s="225"/>
      <c r="N33" s="142" t="s">
        <v>1233</v>
      </c>
      <c r="O33" s="142" t="s">
        <v>1234</v>
      </c>
      <c r="P33" s="243"/>
      <c r="Q33" s="244"/>
      <c r="R33" s="244"/>
      <c r="S33" s="244"/>
      <c r="T33" s="244"/>
      <c r="U33" s="244"/>
      <c r="V33" s="245"/>
      <c r="W33" s="33" t="s">
        <v>37</v>
      </c>
      <c r="X33" s="34"/>
      <c r="Y33" s="217">
        <v>45888</v>
      </c>
      <c r="Z33" s="218"/>
      <c r="AA33" s="219"/>
    </row>
    <row r="34" spans="1:27" ht="17.100000000000001" customHeight="1" thickTop="1" thickBot="1">
      <c r="A34" s="185">
        <v>6</v>
      </c>
      <c r="B34" s="31" t="s">
        <v>49</v>
      </c>
      <c r="C34" s="230"/>
      <c r="D34" s="230"/>
      <c r="E34" s="230"/>
      <c r="F34" s="230"/>
      <c r="G34" s="277"/>
      <c r="H34" s="233"/>
      <c r="I34" s="35" t="s">
        <v>38</v>
      </c>
      <c r="J34" s="130" t="s">
        <v>1379</v>
      </c>
      <c r="K34" s="142" t="s">
        <v>1235</v>
      </c>
      <c r="L34" s="225" t="s">
        <v>1236</v>
      </c>
      <c r="M34" s="225"/>
      <c r="N34" s="142" t="s">
        <v>1237</v>
      </c>
      <c r="O34" s="142" t="s">
        <v>1238</v>
      </c>
      <c r="P34" s="243"/>
      <c r="Q34" s="244"/>
      <c r="R34" s="244"/>
      <c r="S34" s="244"/>
      <c r="T34" s="244"/>
      <c r="U34" s="244"/>
      <c r="V34" s="245"/>
      <c r="W34" s="33" t="s">
        <v>39</v>
      </c>
      <c r="X34" s="34"/>
      <c r="Y34" s="274"/>
      <c r="Z34" s="274"/>
      <c r="AA34" s="275"/>
    </row>
    <row r="35" spans="1:27" ht="17.100000000000001" customHeight="1">
      <c r="A35" s="185"/>
      <c r="B35" s="42" t="s">
        <v>48</v>
      </c>
      <c r="C35" s="230"/>
      <c r="D35" s="230"/>
      <c r="E35" s="230"/>
      <c r="F35" s="230"/>
      <c r="G35" s="277"/>
      <c r="H35" s="233"/>
      <c r="I35" s="36" t="s">
        <v>40</v>
      </c>
      <c r="J35" s="37"/>
      <c r="K35" s="142" t="s">
        <v>1239</v>
      </c>
      <c r="L35" s="142" t="s">
        <v>1240</v>
      </c>
      <c r="M35" s="142"/>
      <c r="N35" s="142" t="s">
        <v>1241</v>
      </c>
      <c r="O35" s="142" t="s">
        <v>1242</v>
      </c>
      <c r="P35" s="243"/>
      <c r="Q35" s="244"/>
      <c r="R35" s="244"/>
      <c r="S35" s="244"/>
      <c r="T35" s="244"/>
      <c r="U35" s="244"/>
      <c r="V35" s="245"/>
      <c r="W35" s="38" t="s">
        <v>41</v>
      </c>
      <c r="X35" s="39"/>
      <c r="Y35" s="200">
        <v>4</v>
      </c>
      <c r="Z35" s="39" t="s">
        <v>31</v>
      </c>
      <c r="AA35" s="202">
        <v>9</v>
      </c>
    </row>
    <row r="36" spans="1:27" ht="17.100000000000001" customHeight="1" thickBot="1">
      <c r="A36" s="186"/>
      <c r="B36" s="196" t="s">
        <v>42</v>
      </c>
      <c r="C36" s="231"/>
      <c r="D36" s="231"/>
      <c r="E36" s="231"/>
      <c r="F36" s="231"/>
      <c r="G36" s="278"/>
      <c r="H36" s="234"/>
      <c r="I36" s="180" t="s">
        <v>43</v>
      </c>
      <c r="J36" s="181"/>
      <c r="K36" s="148" t="s">
        <v>1243</v>
      </c>
      <c r="L36" s="148" t="s">
        <v>1244</v>
      </c>
      <c r="M36" s="148" t="s">
        <v>1245</v>
      </c>
      <c r="N36" s="148" t="s">
        <v>1246</v>
      </c>
      <c r="O36" s="148" t="s">
        <v>1247</v>
      </c>
      <c r="P36" s="246"/>
      <c r="Q36" s="247"/>
      <c r="R36" s="247"/>
      <c r="S36" s="247"/>
      <c r="T36" s="247"/>
      <c r="U36" s="247"/>
      <c r="V36" s="248"/>
      <c r="W36" s="182" t="s">
        <v>44</v>
      </c>
      <c r="X36" s="183"/>
      <c r="Y36" s="220">
        <v>2316054</v>
      </c>
      <c r="Z36" s="220"/>
      <c r="AA36" s="221"/>
    </row>
    <row r="37" spans="1:27" ht="17.100000000000001" customHeight="1"/>
  </sheetData>
  <sheetProtection algorithmName="SHA-512" hashValue="58T07tr9pI9XuHmhytY4iw+YKTm7kKk10MTXy7clAU1bLJNjQGDBgu0ScOjd/7r+rZyJDHC2ty4Ug4zz1XdwAg==" saltValue="I5+8BmAJ9/6f/uO2ZtpyzQ==" spinCount="100000" sheet="1" scenarios="1" formatCells="0" formatColumns="0" formatRows="0"/>
  <mergeCells count="35">
    <mergeCell ref="B1:B3"/>
    <mergeCell ref="C1:C3"/>
    <mergeCell ref="D1:D3"/>
    <mergeCell ref="E1:E3"/>
    <mergeCell ref="F1:F3"/>
    <mergeCell ref="W4:AA4"/>
    <mergeCell ref="U5:AA5"/>
    <mergeCell ref="U1:X1"/>
    <mergeCell ref="Y1:AA1"/>
    <mergeCell ref="G2:L4"/>
    <mergeCell ref="U2:W2"/>
    <mergeCell ref="X2:AA2"/>
    <mergeCell ref="U3:X3"/>
    <mergeCell ref="Y3:AA3"/>
    <mergeCell ref="G1:L1"/>
    <mergeCell ref="B4:B5"/>
    <mergeCell ref="C4:C5"/>
    <mergeCell ref="D4:D5"/>
    <mergeCell ref="E4:E5"/>
    <mergeCell ref="F4:F5"/>
    <mergeCell ref="U7:V7"/>
    <mergeCell ref="C32:C36"/>
    <mergeCell ref="D32:D36"/>
    <mergeCell ref="E32:E36"/>
    <mergeCell ref="F32:F36"/>
    <mergeCell ref="G32:G36"/>
    <mergeCell ref="H32:H36"/>
    <mergeCell ref="K32:O32"/>
    <mergeCell ref="P32:V36"/>
    <mergeCell ref="Y32:AA32"/>
    <mergeCell ref="Y33:AA33"/>
    <mergeCell ref="Y34:AA34"/>
    <mergeCell ref="Y36:AA36"/>
    <mergeCell ref="L33:M33"/>
    <mergeCell ref="L34:M34"/>
  </mergeCells>
  <dataValidations count="3">
    <dataValidation type="decimal" showInputMessage="1" showErrorMessage="1" sqref="Q8:T31" xr:uid="{697F0247-B7F4-4CB0-BB89-A0E084AB336A}">
      <formula1>0</formula1>
      <formula2>9999999</formula2>
    </dataValidation>
    <dataValidation showInputMessage="1" showErrorMessage="1" sqref="M8:M31" xr:uid="{2B66D24B-F11D-41C9-90B2-6DAEAB5479AE}"/>
    <dataValidation type="decimal" operator="greaterThan" showInputMessage="1" showErrorMessage="1" sqref="V8:V31" xr:uid="{96B99B1D-9DB0-4B91-90CE-028E5725F54D}">
      <formula1>0</formula1>
    </dataValidation>
  </dataValidations>
  <printOptions horizontalCentered="1"/>
  <pageMargins left="0" right="0" top="0.25" bottom="0.25" header="0" footer="0"/>
  <pageSetup paperSize="8" scale="85"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Line="0" autoPict="0">
                <anchor moveWithCells="1" sizeWithCells="1">
                  <from>
                    <xdr:col>0</xdr:col>
                    <xdr:colOff>0</xdr:colOff>
                    <xdr:row>31</xdr:row>
                    <xdr:rowOff>57150</xdr:rowOff>
                  </from>
                  <to>
                    <xdr:col>0</xdr:col>
                    <xdr:colOff>0</xdr:colOff>
                    <xdr:row>36</xdr:row>
                    <xdr:rowOff>104775</xdr:rowOff>
                  </to>
                </anchor>
              </controlPr>
            </control>
          </mc:Choice>
        </mc:AlternateContent>
        <mc:AlternateContent xmlns:mc="http://schemas.openxmlformats.org/markup-compatibility/2006">
          <mc:Choice Requires="x14">
            <control shapeId="7170" r:id="rId5" name="Check Box 2">
              <controlPr locked="0" defaultSize="0" autoFill="0" autoLine="0" autoPict="0">
                <anchor moveWithCells="1">
                  <from>
                    <xdr:col>7</xdr:col>
                    <xdr:colOff>247650</xdr:colOff>
                    <xdr:row>0</xdr:row>
                    <xdr:rowOff>209550</xdr:rowOff>
                  </from>
                  <to>
                    <xdr:col>8</xdr:col>
                    <xdr:colOff>1619250</xdr:colOff>
                    <xdr:row>0</xdr:row>
                    <xdr:rowOff>342900</xdr:rowOff>
                  </to>
                </anchor>
              </controlPr>
            </control>
          </mc:Choice>
        </mc:AlternateContent>
        <mc:AlternateContent xmlns:mc="http://schemas.openxmlformats.org/markup-compatibility/2006">
          <mc:Choice Requires="x14">
            <control shapeId="7171" r:id="rId6" name="Check Box 3">
              <controlPr locked="0" defaultSize="0" autoFill="0" autoLine="0" autoPict="0">
                <anchor moveWithCells="1">
                  <from>
                    <xdr:col>7</xdr:col>
                    <xdr:colOff>247650</xdr:colOff>
                    <xdr:row>0</xdr:row>
                    <xdr:rowOff>361950</xdr:rowOff>
                  </from>
                  <to>
                    <xdr:col>8</xdr:col>
                    <xdr:colOff>1409700</xdr:colOff>
                    <xdr:row>1</xdr:row>
                    <xdr:rowOff>19050</xdr:rowOff>
                  </to>
                </anchor>
              </controlPr>
            </control>
          </mc:Choice>
        </mc:AlternateContent>
        <mc:AlternateContent xmlns:mc="http://schemas.openxmlformats.org/markup-compatibility/2006">
          <mc:Choice Requires="x14">
            <control shapeId="7172" r:id="rId7" name="Check Box 4">
              <controlPr locked="0" defaultSize="0" autoFill="0" autoLine="0" autoPict="0">
                <anchor moveWithCells="1">
                  <from>
                    <xdr:col>9</xdr:col>
                    <xdr:colOff>38100</xdr:colOff>
                    <xdr:row>0</xdr:row>
                    <xdr:rowOff>180975</xdr:rowOff>
                  </from>
                  <to>
                    <xdr:col>9</xdr:col>
                    <xdr:colOff>1200150</xdr:colOff>
                    <xdr:row>0</xdr:row>
                    <xdr:rowOff>361950</xdr:rowOff>
                  </to>
                </anchor>
              </controlPr>
            </control>
          </mc:Choice>
        </mc:AlternateContent>
        <mc:AlternateContent xmlns:mc="http://schemas.openxmlformats.org/markup-compatibility/2006">
          <mc:Choice Requires="x14">
            <control shapeId="7173" r:id="rId8" name="Check Box 5">
              <controlPr locked="0" defaultSize="0" autoFill="0" autoLine="0" autoPict="0">
                <anchor moveWithCells="1">
                  <from>
                    <xdr:col>9</xdr:col>
                    <xdr:colOff>38100</xdr:colOff>
                    <xdr:row>0</xdr:row>
                    <xdr:rowOff>361950</xdr:rowOff>
                  </from>
                  <to>
                    <xdr:col>9</xdr:col>
                    <xdr:colOff>1428750</xdr:colOff>
                    <xdr:row>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21DD0083-F598-4194-8154-8BA3B1AA50E7}">
          <x14:formula1>
            <xm:f>'Validation Lists'!$P$2:$P$62</xm:f>
          </x14:formula1>
          <xm:sqref>N8</xm:sqref>
        </x14:dataValidation>
        <x14:dataValidation type="list" operator="greaterThan" showDropDown="1" showInputMessage="1" showErrorMessage="1" xr:uid="{FBFC7591-FB68-4761-B9C7-4BB92AFF93CB}">
          <x14:formula1>
            <xm:f>'Validation Lists'!$E$2:$E$501</xm:f>
          </x14:formula1>
          <xm:sqref>W8:W31</xm:sqref>
        </x14:dataValidation>
        <x14:dataValidation type="list" showInputMessage="1" showErrorMessage="1" xr:uid="{43710F72-5A51-4A30-82F4-069F9079316C}">
          <x14:formula1>
            <xm:f>'Validation Lists'!$G$2:$G$189</xm:f>
          </x14:formula1>
          <xm:sqref>U8:U31</xm:sqref>
        </x14:dataValidation>
        <x14:dataValidation type="list" showInputMessage="1" showErrorMessage="1" xr:uid="{1C9E881D-3839-439C-A2B6-7885722DCD52}">
          <x14:formula1>
            <xm:f>'Validation Lists'!$P$2:$P$35</xm:f>
          </x14:formula1>
          <xm:sqref>N9:N31</xm:sqref>
        </x14:dataValidation>
        <x14:dataValidation type="list" allowBlank="1" showInputMessage="1" showErrorMessage="1" xr:uid="{180B3BB8-9E8E-470E-84B9-D3B083BE6DB9}">
          <x14:formula1>
            <xm:f>'Validation Lists'!$C$2:$C$6</xm:f>
          </x14:formula1>
          <xm:sqref>AA8:AA31</xm:sqref>
        </x14:dataValidation>
        <x14:dataValidation type="list" showInputMessage="1" showErrorMessage="1" xr:uid="{461F7BA7-5E64-438D-95B9-6B29D7703AE0}">
          <x14:formula1>
            <xm:f>'Validation Lists'!$J$3:$J$50</xm:f>
          </x14:formula1>
          <xm:sqref>Y8:Y31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63F83-6685-49E3-AE4A-18EAEE46492A}">
  <sheetPr codeName="Sheet6"/>
  <dimension ref="A1:AB37"/>
  <sheetViews>
    <sheetView showGridLines="0" view="pageBreakPreview" topLeftCell="A14" zoomScale="70" zoomScaleNormal="130" zoomScaleSheetLayoutView="70" workbookViewId="0">
      <selection activeCell="B29" sqref="B29"/>
    </sheetView>
  </sheetViews>
  <sheetFormatPr defaultRowHeight="12.75"/>
  <cols>
    <col min="1" max="1" width="1.7109375" customWidth="1"/>
    <col min="2" max="2" width="3.7109375" customWidth="1"/>
    <col min="3" max="7" width="2.7109375" customWidth="1"/>
    <col min="8" max="8" width="3.7109375" customWidth="1"/>
    <col min="9" max="9" width="25.7109375" customWidth="1"/>
    <col min="10" max="10" width="24.28515625" customWidth="1"/>
    <col min="11" max="11" width="8.7109375" customWidth="1"/>
    <col min="12" max="12" width="12.28515625" customWidth="1"/>
    <col min="13" max="13" width="8.7109375" customWidth="1"/>
    <col min="14" max="14" width="20" customWidth="1"/>
    <col min="15" max="15" width="18" customWidth="1"/>
    <col min="16" max="16" width="31.7109375" customWidth="1"/>
    <col min="17" max="19" width="3.7109375" customWidth="1"/>
    <col min="20" max="20" width="3.5703125" customWidth="1"/>
    <col min="21" max="21" width="4.5703125" customWidth="1"/>
    <col min="22" max="22" width="6.7109375" bestFit="1" customWidth="1"/>
    <col min="23" max="23" width="3.7109375" customWidth="1"/>
    <col min="24" max="24" width="4.7109375" customWidth="1"/>
    <col min="25" max="25" width="17.42578125" customWidth="1"/>
    <col min="26" max="26" width="12.7109375" customWidth="1"/>
    <col min="27" max="27" width="5.7109375" customWidth="1"/>
    <col min="28" max="28" width="10" hidden="1" customWidth="1"/>
  </cols>
  <sheetData>
    <row r="1" spans="1:28" ht="45.75" customHeight="1" thickBot="1">
      <c r="A1" s="184"/>
      <c r="B1" s="279" t="s">
        <v>493</v>
      </c>
      <c r="C1" s="252" t="s">
        <v>1389</v>
      </c>
      <c r="D1" s="252" t="s">
        <v>1390</v>
      </c>
      <c r="E1" s="252" t="s">
        <v>1391</v>
      </c>
      <c r="F1" s="252" t="s">
        <v>1392</v>
      </c>
      <c r="G1" s="260" t="s">
        <v>55</v>
      </c>
      <c r="H1" s="261"/>
      <c r="I1" s="261"/>
      <c r="J1" s="261"/>
      <c r="K1" s="261"/>
      <c r="L1" s="262"/>
      <c r="M1" s="156" t="s">
        <v>54</v>
      </c>
      <c r="N1" s="157"/>
      <c r="O1" s="158"/>
      <c r="P1" s="158"/>
      <c r="Q1" s="158"/>
      <c r="R1" s="158"/>
      <c r="S1" s="158"/>
      <c r="T1" s="159"/>
      <c r="U1" s="258" t="s">
        <v>53</v>
      </c>
      <c r="V1" s="259"/>
      <c r="W1" s="259"/>
      <c r="X1" s="259"/>
      <c r="Y1" s="263" t="s">
        <v>1227</v>
      </c>
      <c r="Z1" s="263"/>
      <c r="AA1" s="264"/>
    </row>
    <row r="2" spans="1:28" ht="15.6" customHeight="1" thickBot="1">
      <c r="A2" s="185">
        <v>1</v>
      </c>
      <c r="B2" s="281"/>
      <c r="C2" s="253"/>
      <c r="D2" s="253"/>
      <c r="E2" s="253"/>
      <c r="F2" s="253"/>
      <c r="G2" s="265" t="s">
        <v>734</v>
      </c>
      <c r="H2" s="266"/>
      <c r="I2" s="266"/>
      <c r="J2" s="266"/>
      <c r="K2" s="266"/>
      <c r="L2" s="267"/>
      <c r="M2" s="3" t="s">
        <v>0</v>
      </c>
      <c r="N2" s="117"/>
      <c r="O2" s="82" t="s">
        <v>47</v>
      </c>
      <c r="P2" s="82"/>
      <c r="Q2" s="4"/>
      <c r="R2" s="4"/>
      <c r="S2" s="4"/>
      <c r="T2" s="5"/>
      <c r="U2" s="256" t="s">
        <v>1</v>
      </c>
      <c r="V2" s="257"/>
      <c r="W2" s="257"/>
      <c r="X2" s="263" t="s">
        <v>1228</v>
      </c>
      <c r="Y2" s="263"/>
      <c r="Z2" s="263"/>
      <c r="AA2" s="264"/>
      <c r="AB2" s="62" t="b">
        <v>0</v>
      </c>
    </row>
    <row r="3" spans="1:28" ht="22.5" customHeight="1" thickBot="1">
      <c r="A3" s="186"/>
      <c r="B3" s="280"/>
      <c r="C3" s="253"/>
      <c r="D3" s="253"/>
      <c r="E3" s="253"/>
      <c r="F3" s="253"/>
      <c r="G3" s="268"/>
      <c r="H3" s="269"/>
      <c r="I3" s="269"/>
      <c r="J3" s="269"/>
      <c r="K3" s="269"/>
      <c r="L3" s="270"/>
      <c r="M3" s="7" t="s">
        <v>2</v>
      </c>
      <c r="N3" s="118"/>
      <c r="O3" s="118"/>
      <c r="P3" s="118"/>
      <c r="Q3" s="118"/>
      <c r="R3" s="118"/>
      <c r="S3" s="118"/>
      <c r="T3" s="119"/>
      <c r="U3" s="254" t="s">
        <v>3</v>
      </c>
      <c r="V3" s="255"/>
      <c r="W3" s="255"/>
      <c r="X3" s="255"/>
      <c r="Y3" s="263" t="s">
        <v>1217</v>
      </c>
      <c r="Z3" s="263"/>
      <c r="AA3" s="264"/>
      <c r="AB3" s="62" t="b">
        <v>1</v>
      </c>
    </row>
    <row r="4" spans="1:28" ht="41.65" customHeight="1" thickBot="1">
      <c r="A4" s="184"/>
      <c r="B4" s="279" t="s">
        <v>494</v>
      </c>
      <c r="C4" s="253" t="s">
        <v>1248</v>
      </c>
      <c r="D4" s="253" t="s">
        <v>1333</v>
      </c>
      <c r="E4" s="253" t="s">
        <v>1248</v>
      </c>
      <c r="F4" s="253" t="s">
        <v>1248</v>
      </c>
      <c r="G4" s="271"/>
      <c r="H4" s="272"/>
      <c r="I4" s="272"/>
      <c r="J4" s="272"/>
      <c r="K4" s="272"/>
      <c r="L4" s="273"/>
      <c r="M4" s="9" t="s">
        <v>4</v>
      </c>
      <c r="N4" s="120"/>
      <c r="O4" s="120"/>
      <c r="P4" s="120"/>
      <c r="Q4" s="120"/>
      <c r="R4" s="120"/>
      <c r="S4" s="120"/>
      <c r="T4" s="121"/>
      <c r="U4" s="143" t="s">
        <v>5</v>
      </c>
      <c r="V4" s="124"/>
      <c r="W4" s="263" t="s">
        <v>1217</v>
      </c>
      <c r="X4" s="263"/>
      <c r="Y4" s="263"/>
      <c r="Z4" s="263"/>
      <c r="AA4" s="264"/>
      <c r="AB4" s="62" t="b">
        <v>0</v>
      </c>
    </row>
    <row r="5" spans="1:28" ht="27" customHeight="1" thickBot="1">
      <c r="A5" s="187">
        <v>2</v>
      </c>
      <c r="B5" s="280"/>
      <c r="C5" s="253"/>
      <c r="D5" s="253"/>
      <c r="E5" s="253"/>
      <c r="F5" s="253"/>
      <c r="G5" s="11"/>
      <c r="H5" s="12" t="s">
        <v>6</v>
      </c>
      <c r="I5" s="13" t="s">
        <v>7</v>
      </c>
      <c r="J5" s="14"/>
      <c r="K5" s="14"/>
      <c r="L5" s="14"/>
      <c r="M5" s="14"/>
      <c r="N5" s="14"/>
      <c r="O5" s="15"/>
      <c r="P5" s="85"/>
      <c r="Q5" s="16" t="s">
        <v>8</v>
      </c>
      <c r="R5" s="17"/>
      <c r="S5" s="18" t="s">
        <v>9</v>
      </c>
      <c r="T5" s="19"/>
      <c r="U5" s="235" t="s">
        <v>50</v>
      </c>
      <c r="V5" s="236"/>
      <c r="W5" s="236"/>
      <c r="X5" s="236"/>
      <c r="Y5" s="236"/>
      <c r="Z5" s="236"/>
      <c r="AA5" s="237"/>
      <c r="AB5" s="62" t="b">
        <v>0</v>
      </c>
    </row>
    <row r="6" spans="1:28" ht="43.15" customHeight="1" thickBot="1">
      <c r="A6" s="188">
        <v>3</v>
      </c>
      <c r="B6" s="83" t="s">
        <v>10</v>
      </c>
      <c r="C6" s="135" t="s">
        <v>1348</v>
      </c>
      <c r="D6" s="135" t="s">
        <v>1349</v>
      </c>
      <c r="E6" s="135" t="s">
        <v>1350</v>
      </c>
      <c r="F6" s="135" t="s">
        <v>1351</v>
      </c>
      <c r="G6" s="21" t="s">
        <v>11</v>
      </c>
      <c r="H6" s="123" t="s">
        <v>12</v>
      </c>
      <c r="I6" s="45" t="s">
        <v>13</v>
      </c>
      <c r="J6" s="22" t="s">
        <v>14</v>
      </c>
      <c r="K6" s="76" t="s">
        <v>15</v>
      </c>
      <c r="L6" s="75" t="s">
        <v>16</v>
      </c>
      <c r="M6" s="77" t="s">
        <v>732</v>
      </c>
      <c r="N6" s="77" t="s">
        <v>733</v>
      </c>
      <c r="O6" s="75" t="s">
        <v>838</v>
      </c>
      <c r="P6" s="75" t="s">
        <v>839</v>
      </c>
      <c r="Q6" s="78" t="s">
        <v>17</v>
      </c>
      <c r="R6" s="79" t="s">
        <v>18</v>
      </c>
      <c r="S6" s="78" t="s">
        <v>17</v>
      </c>
      <c r="T6" s="79" t="s">
        <v>19</v>
      </c>
      <c r="U6" s="80" t="s">
        <v>841</v>
      </c>
      <c r="V6" s="80" t="s">
        <v>840</v>
      </c>
      <c r="W6" s="80" t="s">
        <v>20</v>
      </c>
      <c r="X6" s="81" t="s">
        <v>52</v>
      </c>
      <c r="Y6" s="80" t="s">
        <v>21</v>
      </c>
      <c r="Z6" s="23" t="s">
        <v>45</v>
      </c>
      <c r="AA6" s="161" t="s">
        <v>46</v>
      </c>
    </row>
    <row r="7" spans="1:28" ht="13.15" customHeight="1" thickBot="1">
      <c r="A7" s="189">
        <v>4</v>
      </c>
      <c r="B7" s="84" t="s">
        <v>22</v>
      </c>
      <c r="C7" s="137">
        <v>2</v>
      </c>
      <c r="D7" s="137">
        <v>2</v>
      </c>
      <c r="E7" s="137">
        <v>2</v>
      </c>
      <c r="F7" s="137">
        <v>2</v>
      </c>
      <c r="G7" s="24"/>
      <c r="H7" s="44">
        <v>7</v>
      </c>
      <c r="I7" s="44">
        <v>8</v>
      </c>
      <c r="J7" s="25">
        <v>9</v>
      </c>
      <c r="K7" s="44" t="s">
        <v>23</v>
      </c>
      <c r="L7" s="25" t="s">
        <v>24</v>
      </c>
      <c r="M7" s="44" t="s">
        <v>730</v>
      </c>
      <c r="N7" s="44" t="s">
        <v>731</v>
      </c>
      <c r="O7" s="44" t="s">
        <v>836</v>
      </c>
      <c r="P7" s="98" t="s">
        <v>837</v>
      </c>
      <c r="Q7" s="44">
        <v>13</v>
      </c>
      <c r="R7" s="26">
        <v>14</v>
      </c>
      <c r="S7" s="44">
        <v>15</v>
      </c>
      <c r="T7" s="26">
        <v>16</v>
      </c>
      <c r="U7" s="238">
        <v>17</v>
      </c>
      <c r="V7" s="239"/>
      <c r="W7" s="44">
        <v>18</v>
      </c>
      <c r="X7" s="26">
        <v>19</v>
      </c>
      <c r="Y7" s="44">
        <v>20</v>
      </c>
      <c r="Z7" s="26">
        <v>21</v>
      </c>
      <c r="AA7" s="163">
        <v>22</v>
      </c>
    </row>
    <row r="8" spans="1:28" ht="31.9" customHeight="1" thickBot="1">
      <c r="A8" s="190"/>
      <c r="B8" s="63"/>
      <c r="C8" s="110">
        <v>1</v>
      </c>
      <c r="D8" s="110">
        <v>0</v>
      </c>
      <c r="E8" s="110">
        <v>1</v>
      </c>
      <c r="F8" s="110">
        <v>1</v>
      </c>
      <c r="G8" s="41">
        <v>1</v>
      </c>
      <c r="H8" s="110" cm="1">
        <f t="array" ref="H8">IFERROR(SUM($C$7:$F$7*C8:F8),"")</f>
        <v>6</v>
      </c>
      <c r="I8" s="139" t="s">
        <v>1254</v>
      </c>
      <c r="J8" s="110" t="s">
        <v>1354</v>
      </c>
      <c r="K8" s="110" t="s">
        <v>1261</v>
      </c>
      <c r="L8" s="110" t="s">
        <v>1262</v>
      </c>
      <c r="M8" s="110" t="s">
        <v>1263</v>
      </c>
      <c r="N8" s="110" t="s">
        <v>811</v>
      </c>
      <c r="O8" s="110" t="s">
        <v>1217</v>
      </c>
      <c r="P8" s="127"/>
      <c r="Q8" s="110">
        <v>2</v>
      </c>
      <c r="R8" s="113"/>
      <c r="S8" s="110">
        <v>0</v>
      </c>
      <c r="T8" s="113"/>
      <c r="U8" s="110" t="s">
        <v>1106</v>
      </c>
      <c r="V8" s="207">
        <v>13474.04498470842</v>
      </c>
      <c r="W8" s="110">
        <v>22</v>
      </c>
      <c r="X8" s="113"/>
      <c r="Y8" s="110" t="s">
        <v>894</v>
      </c>
      <c r="Z8" s="213">
        <v>80012204</v>
      </c>
      <c r="AA8" s="197" t="s">
        <v>932</v>
      </c>
    </row>
    <row r="9" spans="1:28" ht="33.75" thickBot="1">
      <c r="A9" s="192"/>
      <c r="B9" s="64"/>
      <c r="C9" s="110">
        <v>1</v>
      </c>
      <c r="D9" s="110">
        <v>0</v>
      </c>
      <c r="E9" s="110">
        <v>1</v>
      </c>
      <c r="F9" s="110">
        <v>1</v>
      </c>
      <c r="G9" s="41">
        <v>2</v>
      </c>
      <c r="H9" s="110" cm="1">
        <f t="array" ref="H9">IFERROR(SUM($C$7:$F$7*C9:F9),"")</f>
        <v>6</v>
      </c>
      <c r="I9" s="139" t="s">
        <v>1205</v>
      </c>
      <c r="J9" s="110" t="s">
        <v>1354</v>
      </c>
      <c r="K9" s="110" t="s">
        <v>1264</v>
      </c>
      <c r="L9" s="110" t="s">
        <v>1218</v>
      </c>
      <c r="M9" s="110" t="s">
        <v>1219</v>
      </c>
      <c r="N9" s="110" t="s">
        <v>811</v>
      </c>
      <c r="O9" s="110" t="s">
        <v>1217</v>
      </c>
      <c r="P9" s="62"/>
      <c r="Q9" s="110">
        <v>2</v>
      </c>
      <c r="R9" s="115"/>
      <c r="S9" s="110">
        <v>0</v>
      </c>
      <c r="T9" s="114"/>
      <c r="U9" s="110" t="s">
        <v>1106</v>
      </c>
      <c r="V9" s="207">
        <v>42341.719583165301</v>
      </c>
      <c r="W9" s="110">
        <v>22</v>
      </c>
      <c r="X9" s="114"/>
      <c r="Y9" s="110" t="s">
        <v>894</v>
      </c>
      <c r="Z9" s="213">
        <v>80012199</v>
      </c>
      <c r="AA9" s="197" t="s">
        <v>932</v>
      </c>
    </row>
    <row r="10" spans="1:28" ht="33.75" thickBot="1">
      <c r="A10" s="192"/>
      <c r="B10" s="65"/>
      <c r="C10" s="110">
        <v>0</v>
      </c>
      <c r="D10" s="110">
        <v>1</v>
      </c>
      <c r="E10" s="110">
        <v>0</v>
      </c>
      <c r="F10" s="110">
        <v>0</v>
      </c>
      <c r="G10" s="41">
        <v>3</v>
      </c>
      <c r="H10" s="110" cm="1">
        <f t="array" ref="H10">IFERROR(SUM($C$7:$F$7*C10:F10),"")</f>
        <v>2</v>
      </c>
      <c r="I10" s="139" t="s">
        <v>1205</v>
      </c>
      <c r="J10" s="110" t="s">
        <v>1352</v>
      </c>
      <c r="K10" s="110" t="s">
        <v>1339</v>
      </c>
      <c r="L10" s="110" t="s">
        <v>1218</v>
      </c>
      <c r="M10" s="110" t="s">
        <v>1219</v>
      </c>
      <c r="N10" s="110" t="s">
        <v>811</v>
      </c>
      <c r="O10" s="110" t="s">
        <v>1217</v>
      </c>
      <c r="P10" s="127"/>
      <c r="Q10" s="110">
        <v>1</v>
      </c>
      <c r="R10" s="114"/>
      <c r="S10" s="110">
        <v>0</v>
      </c>
      <c r="T10" s="114"/>
      <c r="U10" s="110" t="s">
        <v>1106</v>
      </c>
      <c r="V10" s="207">
        <v>35975.726819438707</v>
      </c>
      <c r="W10" s="110">
        <v>22</v>
      </c>
      <c r="X10" s="114"/>
      <c r="Y10" s="110" t="s">
        <v>894</v>
      </c>
      <c r="Z10" s="213">
        <v>80012201</v>
      </c>
      <c r="AA10" s="197" t="s">
        <v>932</v>
      </c>
    </row>
    <row r="11" spans="1:28" ht="29.65" customHeight="1" thickBot="1">
      <c r="A11" s="192"/>
      <c r="B11" s="65"/>
      <c r="C11" s="110">
        <v>2</v>
      </c>
      <c r="D11" s="110">
        <v>2</v>
      </c>
      <c r="E11" s="110">
        <v>2</v>
      </c>
      <c r="F11" s="110">
        <v>2</v>
      </c>
      <c r="G11" s="41">
        <v>4</v>
      </c>
      <c r="H11" s="110" cm="1">
        <f t="array" ref="H11">IFERROR(SUM($C$7:$F$7*C11:F11),"")</f>
        <v>16</v>
      </c>
      <c r="I11" s="139" t="s">
        <v>1381</v>
      </c>
      <c r="J11" s="110" t="s">
        <v>1353</v>
      </c>
      <c r="K11" s="110" t="s">
        <v>1266</v>
      </c>
      <c r="L11" s="110" t="s">
        <v>1267</v>
      </c>
      <c r="M11" s="110" t="s">
        <v>1220</v>
      </c>
      <c r="N11" s="110" t="s">
        <v>811</v>
      </c>
      <c r="O11" s="110" t="s">
        <v>1217</v>
      </c>
      <c r="P11" s="62"/>
      <c r="Q11" s="110">
        <v>8</v>
      </c>
      <c r="R11" s="114"/>
      <c r="S11" s="110">
        <v>0</v>
      </c>
      <c r="T11" s="115"/>
      <c r="U11" s="110" t="s">
        <v>1106</v>
      </c>
      <c r="V11" s="207">
        <v>2511.0626288293192</v>
      </c>
      <c r="W11" s="110">
        <v>16</v>
      </c>
      <c r="X11" s="115"/>
      <c r="Y11" s="110" t="s">
        <v>894</v>
      </c>
      <c r="Z11" s="213">
        <v>10049151</v>
      </c>
      <c r="AA11" s="197" t="s">
        <v>932</v>
      </c>
    </row>
    <row r="12" spans="1:28" ht="31.15" customHeight="1" thickBot="1">
      <c r="A12" s="192"/>
      <c r="B12" s="65"/>
      <c r="C12" s="110">
        <v>3</v>
      </c>
      <c r="D12" s="110">
        <v>0</v>
      </c>
      <c r="E12" s="110">
        <v>3</v>
      </c>
      <c r="F12" s="110">
        <v>3</v>
      </c>
      <c r="G12" s="56">
        <v>5</v>
      </c>
      <c r="H12" s="110" cm="1">
        <f t="array" ref="H12">IFERROR(SUM($C$7:$F$7*C12:F12),"")</f>
        <v>18</v>
      </c>
      <c r="I12" s="139" t="s">
        <v>1255</v>
      </c>
      <c r="J12" s="110" t="s">
        <v>1354</v>
      </c>
      <c r="K12" s="110" t="s">
        <v>1268</v>
      </c>
      <c r="L12" s="110" t="s">
        <v>1269</v>
      </c>
      <c r="M12" s="110" t="s">
        <v>1270</v>
      </c>
      <c r="N12" s="110" t="s">
        <v>811</v>
      </c>
      <c r="O12" s="110" t="s">
        <v>1217</v>
      </c>
      <c r="P12" s="127"/>
      <c r="Q12" s="110">
        <v>18</v>
      </c>
      <c r="R12" s="114"/>
      <c r="S12" s="110">
        <v>0</v>
      </c>
      <c r="T12" s="115"/>
      <c r="U12" s="110" t="s">
        <v>1106</v>
      </c>
      <c r="V12" s="207">
        <v>39.763838354383715</v>
      </c>
      <c r="W12" s="110">
        <v>12</v>
      </c>
      <c r="X12" s="115"/>
      <c r="Y12" s="110" t="s">
        <v>894</v>
      </c>
      <c r="Z12" s="213">
        <v>10632274</v>
      </c>
      <c r="AA12" s="197" t="s">
        <v>932</v>
      </c>
    </row>
    <row r="13" spans="1:28" ht="33.75" thickBot="1">
      <c r="A13" s="192"/>
      <c r="B13" s="65"/>
      <c r="C13" s="110">
        <v>1</v>
      </c>
      <c r="D13" s="110">
        <v>0</v>
      </c>
      <c r="E13" s="110">
        <v>1</v>
      </c>
      <c r="F13" s="110">
        <v>1</v>
      </c>
      <c r="G13" s="41">
        <v>6</v>
      </c>
      <c r="H13" s="110" cm="1">
        <f t="array" ref="H13">IFERROR(SUM($C$7:$F$7*C13:F13),"")</f>
        <v>6</v>
      </c>
      <c r="I13" s="139" t="s">
        <v>1255</v>
      </c>
      <c r="J13" s="110" t="s">
        <v>1354</v>
      </c>
      <c r="K13" s="110" t="s">
        <v>1268</v>
      </c>
      <c r="L13" s="110" t="s">
        <v>1271</v>
      </c>
      <c r="M13" s="110" t="s">
        <v>1270</v>
      </c>
      <c r="N13" s="110" t="s">
        <v>811</v>
      </c>
      <c r="O13" s="110" t="s">
        <v>1217</v>
      </c>
      <c r="P13" s="127"/>
      <c r="Q13" s="110">
        <v>6</v>
      </c>
      <c r="R13" s="115"/>
      <c r="S13" s="110">
        <v>0</v>
      </c>
      <c r="T13" s="113"/>
      <c r="U13" s="110" t="s">
        <v>1106</v>
      </c>
      <c r="V13" s="207">
        <v>39.763838354383715</v>
      </c>
      <c r="W13" s="110">
        <v>12</v>
      </c>
      <c r="X13" s="113"/>
      <c r="Y13" s="110" t="s">
        <v>894</v>
      </c>
      <c r="Z13" s="213">
        <v>10632274</v>
      </c>
      <c r="AA13" s="197" t="s">
        <v>932</v>
      </c>
    </row>
    <row r="14" spans="1:28" ht="33.75" thickBot="1">
      <c r="A14" s="192"/>
      <c r="B14" s="65"/>
      <c r="C14" s="110">
        <v>1</v>
      </c>
      <c r="D14" s="110">
        <v>0</v>
      </c>
      <c r="E14" s="110">
        <v>1</v>
      </c>
      <c r="F14" s="110">
        <v>1</v>
      </c>
      <c r="G14" s="41">
        <v>7</v>
      </c>
      <c r="H14" s="110" cm="1">
        <f t="array" ref="H14">IFERROR(SUM($C$7:$F$7*C14:F14),"")</f>
        <v>6</v>
      </c>
      <c r="I14" s="139" t="s">
        <v>1255</v>
      </c>
      <c r="J14" s="110" t="s">
        <v>1354</v>
      </c>
      <c r="K14" s="110" t="s">
        <v>1272</v>
      </c>
      <c r="L14" s="110" t="s">
        <v>1273</v>
      </c>
      <c r="M14" s="110" t="s">
        <v>1270</v>
      </c>
      <c r="N14" s="110" t="s">
        <v>811</v>
      </c>
      <c r="O14" s="110" t="s">
        <v>1217</v>
      </c>
      <c r="P14" s="127"/>
      <c r="Q14" s="110">
        <v>6</v>
      </c>
      <c r="R14" s="113"/>
      <c r="S14" s="110">
        <v>0</v>
      </c>
      <c r="T14" s="114"/>
      <c r="U14" s="110" t="s">
        <v>1106</v>
      </c>
      <c r="V14" s="207">
        <v>396.7670643767093</v>
      </c>
      <c r="W14" s="110">
        <v>12</v>
      </c>
      <c r="X14" s="114"/>
      <c r="Y14" s="110" t="s">
        <v>894</v>
      </c>
      <c r="Z14" s="213">
        <v>10632276</v>
      </c>
      <c r="AA14" s="197" t="s">
        <v>932</v>
      </c>
    </row>
    <row r="15" spans="1:28" ht="32.65" customHeight="1" thickBot="1">
      <c r="A15" s="192"/>
      <c r="B15" s="66" t="s">
        <v>6</v>
      </c>
      <c r="C15" s="110">
        <v>1</v>
      </c>
      <c r="D15" s="110">
        <v>0</v>
      </c>
      <c r="E15" s="110">
        <v>1</v>
      </c>
      <c r="F15" s="110">
        <v>1</v>
      </c>
      <c r="G15" s="41">
        <v>8</v>
      </c>
      <c r="H15" s="110" cm="1">
        <f t="array" ref="H15">IFERROR(SUM($C$7:$F$7*C15:F15),"")</f>
        <v>6</v>
      </c>
      <c r="I15" s="139" t="s">
        <v>1255</v>
      </c>
      <c r="J15" s="110" t="s">
        <v>1354</v>
      </c>
      <c r="K15" s="110" t="s">
        <v>1274</v>
      </c>
      <c r="L15" s="110" t="s">
        <v>1275</v>
      </c>
      <c r="M15" s="110" t="s">
        <v>1270</v>
      </c>
      <c r="N15" s="110" t="s">
        <v>811</v>
      </c>
      <c r="O15" s="110" t="s">
        <v>1217</v>
      </c>
      <c r="P15" s="127"/>
      <c r="Q15" s="110">
        <v>6</v>
      </c>
      <c r="R15" s="114"/>
      <c r="S15" s="110">
        <v>0</v>
      </c>
      <c r="T15" s="114"/>
      <c r="U15" s="110" t="s">
        <v>1106</v>
      </c>
      <c r="V15" s="207">
        <v>289.43638515322334</v>
      </c>
      <c r="W15" s="110">
        <v>12</v>
      </c>
      <c r="X15" s="114"/>
      <c r="Y15" s="110" t="s">
        <v>894</v>
      </c>
      <c r="Z15" s="213">
        <v>10632275</v>
      </c>
      <c r="AA15" s="197" t="s">
        <v>932</v>
      </c>
    </row>
    <row r="16" spans="1:28" ht="25.5" thickBot="1">
      <c r="A16" s="192"/>
      <c r="B16" s="67" t="s">
        <v>6</v>
      </c>
      <c r="C16" s="110">
        <v>1</v>
      </c>
      <c r="D16" s="110">
        <v>0</v>
      </c>
      <c r="E16" s="110">
        <v>1</v>
      </c>
      <c r="F16" s="110">
        <v>1</v>
      </c>
      <c r="G16" s="41">
        <v>9</v>
      </c>
      <c r="H16" s="110" cm="1">
        <f t="array" ref="H16">IFERROR(SUM($C$7:$F$7*C16:F16),"")</f>
        <v>6</v>
      </c>
      <c r="I16" s="139" t="s">
        <v>1255</v>
      </c>
      <c r="J16" s="110" t="s">
        <v>1354</v>
      </c>
      <c r="K16" s="110" t="s">
        <v>1276</v>
      </c>
      <c r="L16" s="110" t="s">
        <v>1277</v>
      </c>
      <c r="M16" s="110" t="s">
        <v>1221</v>
      </c>
      <c r="N16" s="110" t="s">
        <v>811</v>
      </c>
      <c r="O16" s="110" t="s">
        <v>1217</v>
      </c>
      <c r="P16" s="127"/>
      <c r="Q16" s="110">
        <v>6</v>
      </c>
      <c r="R16" s="114"/>
      <c r="S16" s="110">
        <v>0</v>
      </c>
      <c r="T16" s="114"/>
      <c r="U16" s="110"/>
      <c r="V16" s="207">
        <v>112.05692561487682</v>
      </c>
      <c r="W16" s="110">
        <v>12</v>
      </c>
      <c r="X16" s="114"/>
      <c r="Y16" s="110" t="s">
        <v>894</v>
      </c>
      <c r="Z16" s="213">
        <v>10632277</v>
      </c>
      <c r="AA16" s="197" t="s">
        <v>932</v>
      </c>
    </row>
    <row r="17" spans="1:27" ht="33.75" thickBot="1">
      <c r="A17" s="192"/>
      <c r="B17" s="65"/>
      <c r="C17" s="110">
        <v>1</v>
      </c>
      <c r="D17" s="110">
        <v>0</v>
      </c>
      <c r="E17" s="110">
        <v>1</v>
      </c>
      <c r="F17" s="110">
        <v>1</v>
      </c>
      <c r="G17" s="56">
        <v>10</v>
      </c>
      <c r="H17" s="110" cm="1">
        <f t="array" ref="H17">IFERROR(SUM($C$7:$F$7*C17:F17),"")</f>
        <v>6</v>
      </c>
      <c r="I17" s="139" t="s">
        <v>1256</v>
      </c>
      <c r="J17" s="110" t="s">
        <v>1354</v>
      </c>
      <c r="K17" s="110" t="s">
        <v>1278</v>
      </c>
      <c r="L17" s="110" t="s">
        <v>1279</v>
      </c>
      <c r="M17" s="110" t="s">
        <v>1280</v>
      </c>
      <c r="N17" s="110" t="s">
        <v>811</v>
      </c>
      <c r="O17" s="110" t="s">
        <v>1217</v>
      </c>
      <c r="P17" s="127"/>
      <c r="Q17" s="110">
        <v>6</v>
      </c>
      <c r="R17" s="115"/>
      <c r="S17" s="110">
        <v>0</v>
      </c>
      <c r="T17" s="115"/>
      <c r="U17" s="110" t="s">
        <v>1106</v>
      </c>
      <c r="V17" s="207">
        <v>193.74969843590151</v>
      </c>
      <c r="W17" s="110">
        <v>12</v>
      </c>
      <c r="X17" s="115"/>
      <c r="Y17" s="110" t="s">
        <v>894</v>
      </c>
      <c r="Z17" s="213">
        <v>10632285</v>
      </c>
      <c r="AA17" s="197" t="s">
        <v>932</v>
      </c>
    </row>
    <row r="18" spans="1:27" ht="33.75" thickBot="1">
      <c r="A18" s="193">
        <v>5</v>
      </c>
      <c r="B18" s="68" t="s">
        <v>25</v>
      </c>
      <c r="C18" s="110">
        <v>1</v>
      </c>
      <c r="D18" s="110">
        <v>0</v>
      </c>
      <c r="E18" s="110">
        <v>1</v>
      </c>
      <c r="F18" s="110">
        <v>1</v>
      </c>
      <c r="G18" s="41">
        <v>11</v>
      </c>
      <c r="H18" s="110" cm="1">
        <f t="array" ref="H18">IFERROR(SUM($C$7:$F$7*C18:F18),"")</f>
        <v>6</v>
      </c>
      <c r="I18" s="139" t="s">
        <v>1256</v>
      </c>
      <c r="J18" s="110" t="s">
        <v>1354</v>
      </c>
      <c r="K18" s="110" t="s">
        <v>1281</v>
      </c>
      <c r="L18" s="110" t="s">
        <v>1282</v>
      </c>
      <c r="M18" s="110" t="s">
        <v>1280</v>
      </c>
      <c r="N18" s="110" t="s">
        <v>811</v>
      </c>
      <c r="O18" s="110" t="s">
        <v>1217</v>
      </c>
      <c r="P18" s="127"/>
      <c r="Q18" s="110">
        <v>6</v>
      </c>
      <c r="R18" s="113"/>
      <c r="S18" s="110">
        <v>0</v>
      </c>
      <c r="T18" s="113"/>
      <c r="U18" s="110" t="s">
        <v>1106</v>
      </c>
      <c r="V18" s="207">
        <v>329.56987406335827</v>
      </c>
      <c r="W18" s="110">
        <v>12</v>
      </c>
      <c r="X18" s="113"/>
      <c r="Y18" s="110" t="s">
        <v>894</v>
      </c>
      <c r="Z18" s="213">
        <v>10632286</v>
      </c>
      <c r="AA18" s="197" t="s">
        <v>932</v>
      </c>
    </row>
    <row r="19" spans="1:27" ht="33.75" thickBot="1">
      <c r="A19" s="192"/>
      <c r="B19" s="69" t="s">
        <v>26</v>
      </c>
      <c r="C19" s="110">
        <v>1</v>
      </c>
      <c r="D19" s="110">
        <v>1</v>
      </c>
      <c r="E19" s="110">
        <v>1</v>
      </c>
      <c r="F19" s="110">
        <v>1</v>
      </c>
      <c r="G19" s="41">
        <v>12</v>
      </c>
      <c r="H19" s="110" cm="1">
        <f t="array" ref="H19">IFERROR(SUM($C$7:$F$7*C19:F19),"")</f>
        <v>8</v>
      </c>
      <c r="I19" s="139" t="s">
        <v>1206</v>
      </c>
      <c r="J19" s="110" t="s">
        <v>1353</v>
      </c>
      <c r="K19" s="110" t="s">
        <v>1283</v>
      </c>
      <c r="L19" s="110" t="s">
        <v>1284</v>
      </c>
      <c r="M19" s="110" t="s">
        <v>1221</v>
      </c>
      <c r="N19" s="110" t="s">
        <v>811</v>
      </c>
      <c r="O19" s="110" t="s">
        <v>1217</v>
      </c>
      <c r="P19" s="127"/>
      <c r="Q19" s="110">
        <v>4</v>
      </c>
      <c r="R19" s="114"/>
      <c r="S19" s="110">
        <v>0</v>
      </c>
      <c r="T19" s="114"/>
      <c r="U19" s="110" t="s">
        <v>1106</v>
      </c>
      <c r="V19" s="207">
        <v>2976.0830279643828</v>
      </c>
      <c r="W19" s="110">
        <v>18</v>
      </c>
      <c r="X19" s="114"/>
      <c r="Y19" s="110" t="s">
        <v>894</v>
      </c>
      <c r="Z19" s="213">
        <v>10632269</v>
      </c>
      <c r="AA19" s="197" t="s">
        <v>932</v>
      </c>
    </row>
    <row r="20" spans="1:27" ht="33.75" thickBot="1">
      <c r="A20" s="192"/>
      <c r="B20" s="68" t="s">
        <v>27</v>
      </c>
      <c r="C20" s="110">
        <v>1</v>
      </c>
      <c r="D20" s="110">
        <v>0</v>
      </c>
      <c r="E20" s="110">
        <v>1</v>
      </c>
      <c r="F20" s="110">
        <v>1</v>
      </c>
      <c r="G20" s="41">
        <v>13</v>
      </c>
      <c r="H20" s="110" cm="1">
        <f t="array" ref="H20">IFERROR(SUM($C$7:$F$7*C20:F20),"")</f>
        <v>6</v>
      </c>
      <c r="I20" s="139" t="s">
        <v>1207</v>
      </c>
      <c r="J20" s="110" t="s">
        <v>1354</v>
      </c>
      <c r="K20" s="110" t="s">
        <v>1285</v>
      </c>
      <c r="L20" s="110" t="s">
        <v>1286</v>
      </c>
      <c r="M20" s="110" t="s">
        <v>1263</v>
      </c>
      <c r="N20" s="110" t="s">
        <v>811</v>
      </c>
      <c r="O20" s="110" t="s">
        <v>1217</v>
      </c>
      <c r="P20" s="127"/>
      <c r="Q20" s="110">
        <v>3</v>
      </c>
      <c r="R20" s="114"/>
      <c r="S20" s="110">
        <v>0</v>
      </c>
      <c r="T20" s="114"/>
      <c r="U20" s="110" t="s">
        <v>1106</v>
      </c>
      <c r="V20" s="207">
        <v>2552.8009167494897</v>
      </c>
      <c r="W20" s="110">
        <v>16</v>
      </c>
      <c r="X20" s="114"/>
      <c r="Y20" s="110" t="s">
        <v>894</v>
      </c>
      <c r="Z20" s="213">
        <v>10632289</v>
      </c>
      <c r="AA20" s="197" t="s">
        <v>932</v>
      </c>
    </row>
    <row r="21" spans="1:27" ht="33.75" thickBot="1">
      <c r="A21" s="192"/>
      <c r="B21" s="69" t="s">
        <v>28</v>
      </c>
      <c r="C21" s="110">
        <v>1</v>
      </c>
      <c r="D21" s="110">
        <v>0</v>
      </c>
      <c r="E21" s="110">
        <v>1</v>
      </c>
      <c r="F21" s="110">
        <v>1</v>
      </c>
      <c r="G21" s="41">
        <v>14</v>
      </c>
      <c r="H21" s="110" cm="1">
        <f t="array" ref="H21">IFERROR(SUM($C$7:$F$7*C21:F21),"")</f>
        <v>6</v>
      </c>
      <c r="I21" s="139" t="s">
        <v>1207</v>
      </c>
      <c r="J21" s="110" t="s">
        <v>1354</v>
      </c>
      <c r="K21" s="110" t="s">
        <v>1287</v>
      </c>
      <c r="L21" s="110" t="s">
        <v>1288</v>
      </c>
      <c r="M21" s="110" t="s">
        <v>1221</v>
      </c>
      <c r="N21" s="110" t="s">
        <v>811</v>
      </c>
      <c r="O21" s="110" t="s">
        <v>1217</v>
      </c>
      <c r="P21" s="127"/>
      <c r="Q21" s="110">
        <v>3</v>
      </c>
      <c r="R21" s="114"/>
      <c r="S21" s="110">
        <v>0</v>
      </c>
      <c r="T21" s="114"/>
      <c r="U21" s="110" t="s">
        <v>1106</v>
      </c>
      <c r="V21" s="207">
        <v>939.87292092625125</v>
      </c>
      <c r="W21" s="110">
        <v>16</v>
      </c>
      <c r="X21" s="114"/>
      <c r="Y21" s="110" t="s">
        <v>894</v>
      </c>
      <c r="Z21" s="213">
        <v>10632290</v>
      </c>
      <c r="AA21" s="197" t="s">
        <v>932</v>
      </c>
    </row>
    <row r="22" spans="1:27" ht="33.75" thickBot="1">
      <c r="A22" s="192"/>
      <c r="B22" s="68" t="s">
        <v>29</v>
      </c>
      <c r="C22" s="110">
        <v>1</v>
      </c>
      <c r="D22" s="110">
        <v>1</v>
      </c>
      <c r="E22" s="110">
        <v>1</v>
      </c>
      <c r="F22" s="110">
        <v>1</v>
      </c>
      <c r="G22" s="56">
        <v>15</v>
      </c>
      <c r="H22" s="110" cm="1">
        <f t="array" ref="H22">IFERROR(SUM($C$7:$F$7*C22:F22),"")</f>
        <v>8</v>
      </c>
      <c r="I22" s="139" t="s">
        <v>1257</v>
      </c>
      <c r="J22" s="110" t="s">
        <v>1353</v>
      </c>
      <c r="K22" s="110" t="s">
        <v>1289</v>
      </c>
      <c r="L22" s="110" t="s">
        <v>1290</v>
      </c>
      <c r="M22" s="110" t="s">
        <v>1280</v>
      </c>
      <c r="N22" s="110" t="s">
        <v>811</v>
      </c>
      <c r="O22" s="110" t="s">
        <v>1217</v>
      </c>
      <c r="P22" s="127"/>
      <c r="Q22" s="110">
        <v>4</v>
      </c>
      <c r="R22" s="115"/>
      <c r="S22" s="110">
        <v>0</v>
      </c>
      <c r="T22" s="115"/>
      <c r="U22" s="110" t="s">
        <v>1106</v>
      </c>
      <c r="V22" s="207">
        <v>1660.8661426990102</v>
      </c>
      <c r="W22" s="110">
        <v>14</v>
      </c>
      <c r="X22" s="115"/>
      <c r="Y22" s="110" t="s">
        <v>894</v>
      </c>
      <c r="Z22" s="213">
        <v>10632291</v>
      </c>
      <c r="AA22" s="197" t="s">
        <v>932</v>
      </c>
    </row>
    <row r="23" spans="1:27" ht="33" customHeight="1" thickBot="1">
      <c r="A23" s="192"/>
      <c r="B23" s="69" t="s">
        <v>30</v>
      </c>
      <c r="C23" s="110">
        <v>1</v>
      </c>
      <c r="D23" s="110">
        <v>1</v>
      </c>
      <c r="E23" s="110">
        <v>1</v>
      </c>
      <c r="F23" s="110">
        <v>1</v>
      </c>
      <c r="G23" s="41">
        <v>16</v>
      </c>
      <c r="H23" s="110" cm="1">
        <f t="array" ref="H23">IFERROR(SUM($C$7:$F$7*C23:F23),"")</f>
        <v>8</v>
      </c>
      <c r="I23" s="139" t="s">
        <v>1258</v>
      </c>
      <c r="J23" s="110" t="s">
        <v>1353</v>
      </c>
      <c r="K23" s="110" t="s">
        <v>1291</v>
      </c>
      <c r="L23" s="110" t="s">
        <v>1292</v>
      </c>
      <c r="M23" s="110" t="s">
        <v>1220</v>
      </c>
      <c r="N23" s="110" t="s">
        <v>811</v>
      </c>
      <c r="O23" s="110" t="s">
        <v>1217</v>
      </c>
      <c r="P23" s="127"/>
      <c r="Q23" s="110">
        <v>4</v>
      </c>
      <c r="R23" s="113"/>
      <c r="S23" s="110">
        <v>0</v>
      </c>
      <c r="T23" s="113"/>
      <c r="U23" s="110" t="s">
        <v>1106</v>
      </c>
      <c r="V23" s="207">
        <v>10318.86802965338</v>
      </c>
      <c r="W23" s="110">
        <v>18</v>
      </c>
      <c r="X23" s="113"/>
      <c r="Y23" s="110" t="s">
        <v>894</v>
      </c>
      <c r="Z23" s="213">
        <v>10632271</v>
      </c>
      <c r="AA23" s="197" t="s">
        <v>932</v>
      </c>
    </row>
    <row r="24" spans="1:27" ht="30.6" customHeight="1" thickBot="1">
      <c r="A24" s="192"/>
      <c r="B24" s="70" t="s">
        <v>31</v>
      </c>
      <c r="C24" s="110">
        <v>1</v>
      </c>
      <c r="D24" s="110">
        <v>0</v>
      </c>
      <c r="E24" s="110">
        <v>1</v>
      </c>
      <c r="F24" s="110">
        <v>1</v>
      </c>
      <c r="G24" s="41">
        <v>17</v>
      </c>
      <c r="H24" s="110" cm="1">
        <f t="array" ref="H24">IFERROR(SUM($C$7:$F$7*C24:F24),"")</f>
        <v>6</v>
      </c>
      <c r="I24" s="139" t="s">
        <v>1259</v>
      </c>
      <c r="J24" s="110" t="s">
        <v>1354</v>
      </c>
      <c r="K24" s="110" t="s">
        <v>1293</v>
      </c>
      <c r="L24" s="110" t="s">
        <v>1294</v>
      </c>
      <c r="M24" s="110" t="s">
        <v>1221</v>
      </c>
      <c r="N24" s="110" t="s">
        <v>811</v>
      </c>
      <c r="O24" s="110" t="s">
        <v>1217</v>
      </c>
      <c r="P24" s="127"/>
      <c r="Q24" s="110">
        <v>3</v>
      </c>
      <c r="R24" s="114"/>
      <c r="S24" s="110">
        <v>0</v>
      </c>
      <c r="T24" s="114"/>
      <c r="U24" s="110" t="s">
        <v>1106</v>
      </c>
      <c r="V24" s="207">
        <v>1902.3323639991922</v>
      </c>
      <c r="W24" s="110">
        <v>18</v>
      </c>
      <c r="X24" s="114"/>
      <c r="Y24" s="110" t="s">
        <v>894</v>
      </c>
      <c r="Z24" s="213">
        <v>10632267</v>
      </c>
      <c r="AA24" s="197" t="s">
        <v>932</v>
      </c>
    </row>
    <row r="25" spans="1:27" ht="34.9" customHeight="1" thickBot="1">
      <c r="A25" s="192"/>
      <c r="B25" s="70" t="s">
        <v>32</v>
      </c>
      <c r="C25" s="110">
        <v>10</v>
      </c>
      <c r="D25" s="110">
        <v>0</v>
      </c>
      <c r="E25" s="110">
        <v>6</v>
      </c>
      <c r="F25" s="110">
        <v>6</v>
      </c>
      <c r="G25" s="41">
        <v>18</v>
      </c>
      <c r="H25" s="110" cm="1">
        <f t="array" ref="H25">IFERROR(SUM($C$7:$F$7*C25:F25),"")</f>
        <v>44</v>
      </c>
      <c r="I25" s="139" t="s">
        <v>1259</v>
      </c>
      <c r="J25" s="110" t="s">
        <v>1354</v>
      </c>
      <c r="K25" s="110" t="s">
        <v>1297</v>
      </c>
      <c r="L25" s="110" t="s">
        <v>1298</v>
      </c>
      <c r="M25" s="110" t="s">
        <v>1221</v>
      </c>
      <c r="N25" s="110" t="s">
        <v>811</v>
      </c>
      <c r="O25" s="110" t="s">
        <v>1217</v>
      </c>
      <c r="P25" s="127"/>
      <c r="Q25" s="110">
        <v>22</v>
      </c>
      <c r="R25" s="114"/>
      <c r="S25" s="110">
        <v>0</v>
      </c>
      <c r="T25" s="114"/>
      <c r="U25" s="110" t="s">
        <v>1106</v>
      </c>
      <c r="V25" s="207">
        <v>784.3868367669487</v>
      </c>
      <c r="W25" s="110">
        <v>18</v>
      </c>
      <c r="X25" s="114"/>
      <c r="Y25" s="110" t="s">
        <v>894</v>
      </c>
      <c r="Z25" s="213">
        <v>10632268</v>
      </c>
      <c r="AA25" s="197" t="s">
        <v>932</v>
      </c>
    </row>
    <row r="26" spans="1:27" ht="36" customHeight="1" thickBot="1">
      <c r="A26" s="192"/>
      <c r="B26" s="70" t="s">
        <v>6</v>
      </c>
      <c r="C26" s="110"/>
      <c r="D26" s="110"/>
      <c r="E26" s="110"/>
      <c r="F26" s="110"/>
      <c r="G26" s="41">
        <v>19</v>
      </c>
      <c r="H26" s="110" cm="1">
        <f t="array" ref="H26">IFERROR(SUM($C$7:$F$7*C26:F26),"")</f>
        <v>0</v>
      </c>
      <c r="I26" s="139"/>
      <c r="J26" s="110"/>
      <c r="K26" s="110"/>
      <c r="L26" s="110"/>
      <c r="M26" s="110"/>
      <c r="N26" s="110"/>
      <c r="O26" s="110"/>
      <c r="P26" s="127"/>
      <c r="Q26" s="110"/>
      <c r="R26" s="116"/>
      <c r="S26" s="110"/>
      <c r="T26" s="114"/>
      <c r="U26" s="110"/>
      <c r="V26" s="207"/>
      <c r="W26" s="110"/>
      <c r="X26" s="114"/>
      <c r="Y26" s="110"/>
      <c r="Z26" s="114"/>
      <c r="AA26" s="197"/>
    </row>
    <row r="27" spans="1:27" ht="28.9" customHeight="1" thickBot="1">
      <c r="A27" s="192"/>
      <c r="B27" s="64"/>
      <c r="C27" s="110"/>
      <c r="D27" s="110"/>
      <c r="E27" s="110"/>
      <c r="F27" s="110"/>
      <c r="G27" s="56">
        <v>20</v>
      </c>
      <c r="H27" s="110" cm="1">
        <f t="array" ref="H27">IFERROR(SUM($C$7:$F$7*C27:F27),"")</f>
        <v>0</v>
      </c>
      <c r="I27" s="139"/>
      <c r="J27" s="110"/>
      <c r="K27" s="110"/>
      <c r="L27" s="110"/>
      <c r="M27" s="110"/>
      <c r="N27" s="110"/>
      <c r="O27" s="110"/>
      <c r="P27" s="127"/>
      <c r="Q27" s="110"/>
      <c r="R27" s="115"/>
      <c r="S27" s="110"/>
      <c r="T27" s="115"/>
      <c r="U27" s="110"/>
      <c r="V27" s="110"/>
      <c r="W27" s="110"/>
      <c r="X27" s="115"/>
      <c r="Y27" s="110"/>
      <c r="Z27" s="115"/>
      <c r="AA27" s="197"/>
    </row>
    <row r="28" spans="1:27" ht="31.9" customHeight="1" thickBot="1">
      <c r="A28" s="192"/>
      <c r="B28" s="71"/>
      <c r="C28" s="110"/>
      <c r="D28" s="110"/>
      <c r="E28" s="110"/>
      <c r="F28" s="110"/>
      <c r="G28" s="41">
        <v>21</v>
      </c>
      <c r="H28" s="110" cm="1">
        <f t="array" ref="H28">IFERROR(SUM($C$7:$F$7*C28:F28),"")</f>
        <v>0</v>
      </c>
      <c r="I28" s="139"/>
      <c r="J28" s="110"/>
      <c r="K28" s="110"/>
      <c r="L28" s="110"/>
      <c r="M28" s="110"/>
      <c r="N28" s="110"/>
      <c r="O28" s="110"/>
      <c r="P28" s="127"/>
      <c r="Q28" s="110"/>
      <c r="R28" s="113"/>
      <c r="S28" s="110"/>
      <c r="T28" s="113"/>
      <c r="U28" s="110"/>
      <c r="V28" s="110"/>
      <c r="W28" s="110"/>
      <c r="X28" s="113"/>
      <c r="Y28" s="110"/>
      <c r="Z28" s="113"/>
      <c r="AA28" s="197"/>
    </row>
    <row r="29" spans="1:27" ht="29.65" customHeight="1" thickBot="1">
      <c r="A29" s="192"/>
      <c r="B29" s="71"/>
      <c r="C29" s="110"/>
      <c r="D29" s="110"/>
      <c r="E29" s="110"/>
      <c r="F29" s="110"/>
      <c r="G29" s="41">
        <v>22</v>
      </c>
      <c r="H29" s="110" cm="1">
        <f t="array" ref="H29">IFERROR(SUM($C$7:$F$7*C29:F29),"")</f>
        <v>0</v>
      </c>
      <c r="I29" s="139"/>
      <c r="J29" s="110"/>
      <c r="K29" s="110"/>
      <c r="L29" s="110"/>
      <c r="M29" s="110"/>
      <c r="N29" s="110"/>
      <c r="O29" s="110"/>
      <c r="P29" s="127"/>
      <c r="Q29" s="110"/>
      <c r="R29" s="114"/>
      <c r="S29" s="110"/>
      <c r="T29" s="114"/>
      <c r="U29" s="110"/>
      <c r="V29" s="110"/>
      <c r="W29" s="110"/>
      <c r="X29" s="114"/>
      <c r="Y29" s="110"/>
      <c r="Z29" s="114"/>
      <c r="AA29" s="197"/>
    </row>
    <row r="30" spans="1:27" ht="13.5" thickBot="1">
      <c r="A30" s="192"/>
      <c r="B30" s="71"/>
      <c r="C30" s="110"/>
      <c r="D30" s="110"/>
      <c r="E30" s="110"/>
      <c r="F30" s="110"/>
      <c r="G30" s="41">
        <v>23</v>
      </c>
      <c r="H30" s="110" cm="1">
        <f t="array" ref="H30">IFERROR(SUM($C$7:$F$7*C30:F30),"")</f>
        <v>0</v>
      </c>
      <c r="I30" s="139"/>
      <c r="J30" s="110"/>
      <c r="K30" s="110"/>
      <c r="L30" s="110"/>
      <c r="M30" s="110"/>
      <c r="N30" s="110"/>
      <c r="O30" s="110"/>
      <c r="P30" s="127"/>
      <c r="Q30" s="110"/>
      <c r="R30" s="114"/>
      <c r="S30" s="110"/>
      <c r="T30" s="114"/>
      <c r="U30" s="110"/>
      <c r="V30" s="110"/>
      <c r="W30" s="110"/>
      <c r="X30" s="114"/>
      <c r="Y30" s="110"/>
      <c r="Z30" s="114"/>
      <c r="AA30" s="197"/>
    </row>
    <row r="31" spans="1:27" ht="34.9" customHeight="1" thickBot="1">
      <c r="A31" s="192"/>
      <c r="B31" s="71"/>
      <c r="C31" s="110"/>
      <c r="D31" s="110"/>
      <c r="E31" s="110"/>
      <c r="F31" s="110"/>
      <c r="G31" s="56">
        <v>24</v>
      </c>
      <c r="H31" s="110" cm="1">
        <f t="array" ref="H31">IFERROR(SUM($C$7:$F$7*C31:F31),"")</f>
        <v>0</v>
      </c>
      <c r="I31" s="139"/>
      <c r="J31" s="110"/>
      <c r="K31" s="110"/>
      <c r="L31" s="110"/>
      <c r="M31" s="110"/>
      <c r="N31" s="110"/>
      <c r="O31" s="110"/>
      <c r="P31" s="127"/>
      <c r="Q31" s="110"/>
      <c r="R31" s="116"/>
      <c r="S31" s="110"/>
      <c r="T31" s="116"/>
      <c r="U31" s="110"/>
      <c r="V31" s="110"/>
      <c r="W31" s="110"/>
      <c r="X31" s="115"/>
      <c r="Y31" s="110"/>
      <c r="Z31" s="115"/>
      <c r="AA31" s="197"/>
    </row>
    <row r="32" spans="1:27" ht="22.9" customHeight="1" thickBot="1">
      <c r="A32" s="184" t="s">
        <v>6</v>
      </c>
      <c r="B32" s="27" t="s">
        <v>6</v>
      </c>
      <c r="C32" s="230" t="s">
        <v>1355</v>
      </c>
      <c r="D32" s="230" t="s">
        <v>1356</v>
      </c>
      <c r="E32" s="230" t="s">
        <v>1357</v>
      </c>
      <c r="F32" s="230" t="s">
        <v>1358</v>
      </c>
      <c r="G32" s="276"/>
      <c r="H32" s="232"/>
      <c r="I32" s="28" t="s">
        <v>33</v>
      </c>
      <c r="J32" s="130" t="s">
        <v>1229</v>
      </c>
      <c r="K32" s="222" t="s">
        <v>51</v>
      </c>
      <c r="L32" s="223"/>
      <c r="M32" s="223"/>
      <c r="N32" s="223"/>
      <c r="O32" s="224"/>
      <c r="P32" s="240" t="s">
        <v>1125</v>
      </c>
      <c r="Q32" s="241"/>
      <c r="R32" s="241"/>
      <c r="S32" s="241"/>
      <c r="T32" s="241"/>
      <c r="U32" s="241"/>
      <c r="V32" s="242"/>
      <c r="W32" s="29" t="s">
        <v>34</v>
      </c>
      <c r="X32" s="30"/>
      <c r="Y32" s="217" t="s">
        <v>1383</v>
      </c>
      <c r="Z32" s="218"/>
      <c r="AA32" s="219"/>
    </row>
    <row r="33" spans="1:27" ht="17.100000000000001" customHeight="1" thickTop="1" thickBot="1">
      <c r="A33" s="185"/>
      <c r="B33" s="43" t="s">
        <v>35</v>
      </c>
      <c r="C33" s="230"/>
      <c r="D33" s="230"/>
      <c r="E33" s="230"/>
      <c r="F33" s="230"/>
      <c r="G33" s="277"/>
      <c r="H33" s="233"/>
      <c r="I33" s="32" t="s">
        <v>36</v>
      </c>
      <c r="J33" s="130" t="s">
        <v>1230</v>
      </c>
      <c r="K33" s="142" t="s">
        <v>1231</v>
      </c>
      <c r="L33" s="225" t="s">
        <v>1232</v>
      </c>
      <c r="M33" s="225"/>
      <c r="N33" s="142" t="s">
        <v>1233</v>
      </c>
      <c r="O33" s="142" t="s">
        <v>1234</v>
      </c>
      <c r="P33" s="243"/>
      <c r="Q33" s="244"/>
      <c r="R33" s="244"/>
      <c r="S33" s="244"/>
      <c r="T33" s="244"/>
      <c r="U33" s="244"/>
      <c r="V33" s="245"/>
      <c r="W33" s="33" t="s">
        <v>37</v>
      </c>
      <c r="X33" s="34"/>
      <c r="Y33" s="217">
        <v>45888</v>
      </c>
      <c r="Z33" s="218"/>
      <c r="AA33" s="219"/>
    </row>
    <row r="34" spans="1:27" ht="17.100000000000001" customHeight="1" thickTop="1" thickBot="1">
      <c r="A34" s="185">
        <v>6</v>
      </c>
      <c r="B34" s="31" t="s">
        <v>49</v>
      </c>
      <c r="C34" s="230"/>
      <c r="D34" s="230"/>
      <c r="E34" s="230"/>
      <c r="F34" s="230"/>
      <c r="G34" s="277"/>
      <c r="H34" s="233"/>
      <c r="I34" s="35" t="s">
        <v>38</v>
      </c>
      <c r="J34" s="130" t="s">
        <v>1379</v>
      </c>
      <c r="K34" s="142" t="s">
        <v>1235</v>
      </c>
      <c r="L34" s="225" t="s">
        <v>1236</v>
      </c>
      <c r="M34" s="225"/>
      <c r="N34" s="142" t="s">
        <v>1237</v>
      </c>
      <c r="O34" s="142" t="s">
        <v>1238</v>
      </c>
      <c r="P34" s="243"/>
      <c r="Q34" s="244"/>
      <c r="R34" s="244"/>
      <c r="S34" s="244"/>
      <c r="T34" s="244"/>
      <c r="U34" s="244"/>
      <c r="V34" s="245"/>
      <c r="W34" s="33" t="s">
        <v>39</v>
      </c>
      <c r="X34" s="34"/>
      <c r="Y34" s="274"/>
      <c r="Z34" s="274"/>
      <c r="AA34" s="275"/>
    </row>
    <row r="35" spans="1:27" ht="17.100000000000001" customHeight="1">
      <c r="A35" s="185"/>
      <c r="B35" s="42" t="s">
        <v>48</v>
      </c>
      <c r="C35" s="230"/>
      <c r="D35" s="230"/>
      <c r="E35" s="230"/>
      <c r="F35" s="230"/>
      <c r="G35" s="277"/>
      <c r="H35" s="233"/>
      <c r="I35" s="36" t="s">
        <v>40</v>
      </c>
      <c r="J35" s="37"/>
      <c r="K35" s="142" t="s">
        <v>1239</v>
      </c>
      <c r="L35" s="142" t="s">
        <v>1240</v>
      </c>
      <c r="M35" s="142"/>
      <c r="N35" s="142" t="s">
        <v>1241</v>
      </c>
      <c r="O35" s="142" t="s">
        <v>1242</v>
      </c>
      <c r="P35" s="243"/>
      <c r="Q35" s="244"/>
      <c r="R35" s="244"/>
      <c r="S35" s="244"/>
      <c r="T35" s="244"/>
      <c r="U35" s="244"/>
      <c r="V35" s="245"/>
      <c r="W35" s="38" t="s">
        <v>41</v>
      </c>
      <c r="X35" s="39"/>
      <c r="Y35" s="200">
        <v>5</v>
      </c>
      <c r="Z35" s="203" t="s">
        <v>31</v>
      </c>
      <c r="AA35" s="204">
        <v>9</v>
      </c>
    </row>
    <row r="36" spans="1:27" ht="17.100000000000001" customHeight="1" thickBot="1">
      <c r="A36" s="186"/>
      <c r="B36" s="196" t="s">
        <v>42</v>
      </c>
      <c r="C36" s="231"/>
      <c r="D36" s="231"/>
      <c r="E36" s="231"/>
      <c r="F36" s="231"/>
      <c r="G36" s="278"/>
      <c r="H36" s="234"/>
      <c r="I36" s="180" t="s">
        <v>43</v>
      </c>
      <c r="J36" s="181"/>
      <c r="K36" s="148" t="s">
        <v>1243</v>
      </c>
      <c r="L36" s="148" t="s">
        <v>1244</v>
      </c>
      <c r="M36" s="148" t="s">
        <v>1245</v>
      </c>
      <c r="N36" s="148" t="s">
        <v>1246</v>
      </c>
      <c r="O36" s="148" t="s">
        <v>1247</v>
      </c>
      <c r="P36" s="246"/>
      <c r="Q36" s="247"/>
      <c r="R36" s="247"/>
      <c r="S36" s="247"/>
      <c r="T36" s="247"/>
      <c r="U36" s="247"/>
      <c r="V36" s="248"/>
      <c r="W36" s="182" t="s">
        <v>44</v>
      </c>
      <c r="X36" s="183"/>
      <c r="Y36" s="220">
        <v>2316054</v>
      </c>
      <c r="Z36" s="220"/>
      <c r="AA36" s="221"/>
    </row>
    <row r="37" spans="1:27" ht="17.100000000000001" customHeight="1"/>
  </sheetData>
  <sheetProtection algorithmName="SHA-512" hashValue="58T07tr9pI9XuHmhytY4iw+YKTm7kKk10MTXy7clAU1bLJNjQGDBgu0ScOjd/7r+rZyJDHC2ty4Ug4zz1XdwAg==" saltValue="I5+8BmAJ9/6f/uO2ZtpyzQ==" spinCount="100000" sheet="1" scenarios="1" formatCells="0" formatColumns="0" formatRows="0"/>
  <mergeCells count="35">
    <mergeCell ref="B1:B3"/>
    <mergeCell ref="C1:C3"/>
    <mergeCell ref="D1:D3"/>
    <mergeCell ref="E1:E3"/>
    <mergeCell ref="F1:F3"/>
    <mergeCell ref="W4:AA4"/>
    <mergeCell ref="U5:AA5"/>
    <mergeCell ref="U1:X1"/>
    <mergeCell ref="Y1:AA1"/>
    <mergeCell ref="G2:L4"/>
    <mergeCell ref="U2:W2"/>
    <mergeCell ref="X2:AA2"/>
    <mergeCell ref="U3:X3"/>
    <mergeCell ref="Y3:AA3"/>
    <mergeCell ref="G1:L1"/>
    <mergeCell ref="B4:B5"/>
    <mergeCell ref="C4:C5"/>
    <mergeCell ref="D4:D5"/>
    <mergeCell ref="E4:E5"/>
    <mergeCell ref="F4:F5"/>
    <mergeCell ref="Y36:AA36"/>
    <mergeCell ref="U7:V7"/>
    <mergeCell ref="C32:C36"/>
    <mergeCell ref="D32:D36"/>
    <mergeCell ref="E32:E36"/>
    <mergeCell ref="F32:F36"/>
    <mergeCell ref="G32:G36"/>
    <mergeCell ref="H32:H36"/>
    <mergeCell ref="K32:O32"/>
    <mergeCell ref="P32:V36"/>
    <mergeCell ref="Y32:AA32"/>
    <mergeCell ref="L33:M33"/>
    <mergeCell ref="Y33:AA33"/>
    <mergeCell ref="L34:M34"/>
    <mergeCell ref="Y34:AA34"/>
  </mergeCells>
  <dataValidations count="3">
    <dataValidation type="decimal" operator="greaterThan" showInputMessage="1" showErrorMessage="1" sqref="V8:V31" xr:uid="{FBA274A6-B4ED-4F52-8CD6-27A3FB8ACCE9}">
      <formula1>0</formula1>
    </dataValidation>
    <dataValidation showInputMessage="1" showErrorMessage="1" sqref="M8:M31" xr:uid="{3306D674-AC2F-4922-9EEF-589A67123B6E}"/>
    <dataValidation type="decimal" showInputMessage="1" showErrorMessage="1" sqref="Q8:T29 Q31:T31 R30:T30" xr:uid="{5357646C-7947-4B24-9951-009AA58D9F61}">
      <formula1>0</formula1>
      <formula2>9999999</formula2>
    </dataValidation>
  </dataValidations>
  <printOptions horizontalCentered="1"/>
  <pageMargins left="0" right="0" top="0.25" bottom="0.25" header="0" footer="0"/>
  <pageSetup paperSize="8" scale="78"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Line="0" autoPict="0">
                <anchor moveWithCells="1" sizeWithCells="1">
                  <from>
                    <xdr:col>0</xdr:col>
                    <xdr:colOff>0</xdr:colOff>
                    <xdr:row>31</xdr:row>
                    <xdr:rowOff>57150</xdr:rowOff>
                  </from>
                  <to>
                    <xdr:col>0</xdr:col>
                    <xdr:colOff>0</xdr:colOff>
                    <xdr:row>36</xdr:row>
                    <xdr:rowOff>104775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7</xdr:col>
                    <xdr:colOff>247650</xdr:colOff>
                    <xdr:row>0</xdr:row>
                    <xdr:rowOff>209550</xdr:rowOff>
                  </from>
                  <to>
                    <xdr:col>8</xdr:col>
                    <xdr:colOff>1619250</xdr:colOff>
                    <xdr:row>0</xdr:row>
                    <xdr:rowOff>342900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7</xdr:col>
                    <xdr:colOff>247650</xdr:colOff>
                    <xdr:row>0</xdr:row>
                    <xdr:rowOff>361950</xdr:rowOff>
                  </from>
                  <to>
                    <xdr:col>8</xdr:col>
                    <xdr:colOff>1409700</xdr:colOff>
                    <xdr:row>1</xdr:row>
                    <xdr:rowOff>19050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9</xdr:col>
                    <xdr:colOff>38100</xdr:colOff>
                    <xdr:row>0</xdr:row>
                    <xdr:rowOff>180975</xdr:rowOff>
                  </from>
                  <to>
                    <xdr:col>9</xdr:col>
                    <xdr:colOff>1200150</xdr:colOff>
                    <xdr:row>0</xdr:row>
                    <xdr:rowOff>361950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9</xdr:col>
                    <xdr:colOff>38100</xdr:colOff>
                    <xdr:row>0</xdr:row>
                    <xdr:rowOff>361950</xdr:rowOff>
                  </from>
                  <to>
                    <xdr:col>9</xdr:col>
                    <xdr:colOff>1428750</xdr:colOff>
                    <xdr:row>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6EEE1D55-10CC-410D-AFB1-D5C2F3BA0C63}">
          <x14:formula1>
            <xm:f>'Validation Lists'!$J$3:$J$50</xm:f>
          </x14:formula1>
          <xm:sqref>Y8:Y31</xm:sqref>
        </x14:dataValidation>
        <x14:dataValidation type="list" allowBlank="1" showInputMessage="1" showErrorMessage="1" xr:uid="{C492C192-97E7-413A-BEA6-29CE76E31277}">
          <x14:formula1>
            <xm:f>'Validation Lists'!$C$2:$C$6</xm:f>
          </x14:formula1>
          <xm:sqref>AA8:AA31</xm:sqref>
        </x14:dataValidation>
        <x14:dataValidation type="list" showInputMessage="1" showErrorMessage="1" xr:uid="{847BE001-1179-4FF4-9153-3C34074A4B40}">
          <x14:formula1>
            <xm:f>'Validation Lists'!$P$2:$P$35</xm:f>
          </x14:formula1>
          <xm:sqref>N9:N31</xm:sqref>
        </x14:dataValidation>
        <x14:dataValidation type="list" showInputMessage="1" showErrorMessage="1" xr:uid="{93E18F7B-452F-43BA-B16A-3697691E2949}">
          <x14:formula1>
            <xm:f>'Validation Lists'!$G$2:$G$189</xm:f>
          </x14:formula1>
          <xm:sqref>U8:U31</xm:sqref>
        </x14:dataValidation>
        <x14:dataValidation type="list" operator="greaterThan" showDropDown="1" showInputMessage="1" showErrorMessage="1" xr:uid="{0CD68BCC-F9C5-4033-9876-3179453339F5}">
          <x14:formula1>
            <xm:f>'Validation Lists'!$E$2:$E$501</xm:f>
          </x14:formula1>
          <xm:sqref>W8:W31</xm:sqref>
        </x14:dataValidation>
        <x14:dataValidation type="list" showInputMessage="1" showErrorMessage="1" xr:uid="{B41C3E98-A9C8-4AD7-8F08-94E6CEFA267C}">
          <x14:formula1>
            <xm:f>'Validation Lists'!$P$2:$P$62</xm:f>
          </x14:formula1>
          <xm:sqref>N8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DB633-FAAA-4612-A650-29BECD1163C7}">
  <sheetPr codeName="Sheet7"/>
  <dimension ref="A1:AB37"/>
  <sheetViews>
    <sheetView showGridLines="0" view="pageBreakPreview" topLeftCell="A11" zoomScale="85" zoomScaleNormal="130" zoomScaleSheetLayoutView="85" workbookViewId="0">
      <selection activeCell="A30" sqref="A30"/>
    </sheetView>
  </sheetViews>
  <sheetFormatPr defaultRowHeight="12.75"/>
  <cols>
    <col min="1" max="1" width="1.7109375" customWidth="1"/>
    <col min="2" max="2" width="3.7109375" customWidth="1"/>
    <col min="3" max="7" width="2.7109375" customWidth="1"/>
    <col min="8" max="8" width="3.7109375" customWidth="1"/>
    <col min="9" max="9" width="25.7109375" customWidth="1"/>
    <col min="10" max="10" width="24.28515625" customWidth="1"/>
    <col min="11" max="11" width="8.7109375" customWidth="1"/>
    <col min="12" max="12" width="12.28515625" customWidth="1"/>
    <col min="13" max="13" width="8.7109375" customWidth="1"/>
    <col min="14" max="14" width="20.7109375" customWidth="1"/>
    <col min="15" max="15" width="18.28515625" customWidth="1"/>
    <col min="16" max="16" width="34.42578125" customWidth="1"/>
    <col min="17" max="19" width="3.7109375" customWidth="1"/>
    <col min="20" max="20" width="3.5703125" customWidth="1"/>
    <col min="21" max="21" width="4.5703125" customWidth="1"/>
    <col min="22" max="22" width="4.7109375" bestFit="1" customWidth="1"/>
    <col min="23" max="23" width="3.7109375" customWidth="1"/>
    <col min="24" max="24" width="4.7109375" customWidth="1"/>
    <col min="25" max="25" width="17.42578125" customWidth="1"/>
    <col min="26" max="26" width="12.7109375" customWidth="1"/>
    <col min="27" max="27" width="5.7109375" customWidth="1"/>
    <col min="28" max="28" width="10" hidden="1" customWidth="1"/>
  </cols>
  <sheetData>
    <row r="1" spans="1:28" ht="45.75" customHeight="1" thickBot="1">
      <c r="A1" s="184"/>
      <c r="B1" s="279" t="s">
        <v>493</v>
      </c>
      <c r="C1" s="252" t="s">
        <v>1389</v>
      </c>
      <c r="D1" s="252" t="s">
        <v>1390</v>
      </c>
      <c r="E1" s="252" t="s">
        <v>1391</v>
      </c>
      <c r="F1" s="252" t="s">
        <v>1392</v>
      </c>
      <c r="G1" s="260" t="s">
        <v>55</v>
      </c>
      <c r="H1" s="261"/>
      <c r="I1" s="261"/>
      <c r="J1" s="261"/>
      <c r="K1" s="261"/>
      <c r="L1" s="262"/>
      <c r="M1" s="156" t="s">
        <v>54</v>
      </c>
      <c r="N1" s="157"/>
      <c r="O1" s="158"/>
      <c r="P1" s="158"/>
      <c r="Q1" s="158"/>
      <c r="R1" s="158"/>
      <c r="S1" s="158"/>
      <c r="T1" s="159"/>
      <c r="U1" s="258" t="s">
        <v>53</v>
      </c>
      <c r="V1" s="259"/>
      <c r="W1" s="259"/>
      <c r="X1" s="259"/>
      <c r="Y1" s="263" t="s">
        <v>1227</v>
      </c>
      <c r="Z1" s="263"/>
      <c r="AA1" s="264"/>
    </row>
    <row r="2" spans="1:28" ht="15.6" customHeight="1" thickBot="1">
      <c r="A2" s="185">
        <v>1</v>
      </c>
      <c r="B2" s="281"/>
      <c r="C2" s="253"/>
      <c r="D2" s="253"/>
      <c r="E2" s="253"/>
      <c r="F2" s="253"/>
      <c r="G2" s="265" t="s">
        <v>734</v>
      </c>
      <c r="H2" s="266"/>
      <c r="I2" s="266"/>
      <c r="J2" s="266"/>
      <c r="K2" s="266"/>
      <c r="L2" s="267"/>
      <c r="M2" s="3" t="s">
        <v>0</v>
      </c>
      <c r="N2" s="117"/>
      <c r="O2" s="82" t="s">
        <v>47</v>
      </c>
      <c r="P2" s="82"/>
      <c r="Q2" s="4"/>
      <c r="R2" s="4"/>
      <c r="S2" s="4"/>
      <c r="T2" s="5"/>
      <c r="U2" s="256" t="s">
        <v>1</v>
      </c>
      <c r="V2" s="257"/>
      <c r="W2" s="257"/>
      <c r="X2" s="263" t="s">
        <v>1228</v>
      </c>
      <c r="Y2" s="263"/>
      <c r="Z2" s="263"/>
      <c r="AA2" s="264"/>
      <c r="AB2" s="62" t="b">
        <v>0</v>
      </c>
    </row>
    <row r="3" spans="1:28" ht="22.5" customHeight="1" thickBot="1">
      <c r="A3" s="186"/>
      <c r="B3" s="280"/>
      <c r="C3" s="253"/>
      <c r="D3" s="253"/>
      <c r="E3" s="253"/>
      <c r="F3" s="253"/>
      <c r="G3" s="268"/>
      <c r="H3" s="269"/>
      <c r="I3" s="269"/>
      <c r="J3" s="269"/>
      <c r="K3" s="269"/>
      <c r="L3" s="270"/>
      <c r="M3" s="7" t="s">
        <v>2</v>
      </c>
      <c r="N3" s="118"/>
      <c r="O3" s="118"/>
      <c r="P3" s="118"/>
      <c r="Q3" s="118"/>
      <c r="R3" s="118"/>
      <c r="S3" s="118"/>
      <c r="T3" s="119"/>
      <c r="U3" s="254" t="s">
        <v>3</v>
      </c>
      <c r="V3" s="255"/>
      <c r="W3" s="255"/>
      <c r="X3" s="255"/>
      <c r="Y3" s="263" t="s">
        <v>1217</v>
      </c>
      <c r="Z3" s="263"/>
      <c r="AA3" s="264"/>
      <c r="AB3" s="62" t="b">
        <v>1</v>
      </c>
    </row>
    <row r="4" spans="1:28" ht="41.65" customHeight="1" thickBot="1">
      <c r="A4" s="184"/>
      <c r="B4" s="279" t="s">
        <v>494</v>
      </c>
      <c r="C4" s="253" t="s">
        <v>1248</v>
      </c>
      <c r="D4" s="253" t="s">
        <v>1333</v>
      </c>
      <c r="E4" s="253" t="s">
        <v>1248</v>
      </c>
      <c r="F4" s="253" t="s">
        <v>1248</v>
      </c>
      <c r="G4" s="271"/>
      <c r="H4" s="272"/>
      <c r="I4" s="272"/>
      <c r="J4" s="272"/>
      <c r="K4" s="272"/>
      <c r="L4" s="273"/>
      <c r="M4" s="9" t="s">
        <v>4</v>
      </c>
      <c r="N4" s="120"/>
      <c r="O4" s="120"/>
      <c r="P4" s="120"/>
      <c r="Q4" s="120"/>
      <c r="R4" s="120"/>
      <c r="S4" s="120"/>
      <c r="T4" s="121"/>
      <c r="U4" s="143" t="s">
        <v>5</v>
      </c>
      <c r="V4" s="124"/>
      <c r="W4" s="263" t="s">
        <v>1217</v>
      </c>
      <c r="X4" s="263"/>
      <c r="Y4" s="263"/>
      <c r="Z4" s="263"/>
      <c r="AA4" s="264"/>
      <c r="AB4" s="62" t="b">
        <v>0</v>
      </c>
    </row>
    <row r="5" spans="1:28" ht="27" customHeight="1" thickBot="1">
      <c r="A5" s="187">
        <v>2</v>
      </c>
      <c r="B5" s="280"/>
      <c r="C5" s="253"/>
      <c r="D5" s="253"/>
      <c r="E5" s="253"/>
      <c r="F5" s="253"/>
      <c r="G5" s="11"/>
      <c r="H5" s="12" t="s">
        <v>6</v>
      </c>
      <c r="I5" s="13" t="s">
        <v>7</v>
      </c>
      <c r="J5" s="14"/>
      <c r="K5" s="14"/>
      <c r="L5" s="14"/>
      <c r="M5" s="14"/>
      <c r="N5" s="14"/>
      <c r="O5" s="15"/>
      <c r="P5" s="85"/>
      <c r="Q5" s="16" t="s">
        <v>8</v>
      </c>
      <c r="R5" s="17"/>
      <c r="S5" s="18" t="s">
        <v>9</v>
      </c>
      <c r="T5" s="19"/>
      <c r="U5" s="235" t="s">
        <v>50</v>
      </c>
      <c r="V5" s="236"/>
      <c r="W5" s="236"/>
      <c r="X5" s="236"/>
      <c r="Y5" s="236"/>
      <c r="Z5" s="236"/>
      <c r="AA5" s="237"/>
      <c r="AB5" s="62" t="b">
        <v>0</v>
      </c>
    </row>
    <row r="6" spans="1:28" ht="43.15" customHeight="1" thickBot="1">
      <c r="A6" s="188">
        <v>3</v>
      </c>
      <c r="B6" s="83" t="s">
        <v>10</v>
      </c>
      <c r="C6" s="135" t="s">
        <v>1348</v>
      </c>
      <c r="D6" s="135" t="s">
        <v>1349</v>
      </c>
      <c r="E6" s="135" t="s">
        <v>1350</v>
      </c>
      <c r="F6" s="135" t="s">
        <v>1351</v>
      </c>
      <c r="G6" s="21" t="s">
        <v>11</v>
      </c>
      <c r="H6" s="123" t="s">
        <v>12</v>
      </c>
      <c r="I6" s="45" t="s">
        <v>13</v>
      </c>
      <c r="J6" s="22" t="s">
        <v>14</v>
      </c>
      <c r="K6" s="76" t="s">
        <v>15</v>
      </c>
      <c r="L6" s="75" t="s">
        <v>16</v>
      </c>
      <c r="M6" s="77" t="s">
        <v>732</v>
      </c>
      <c r="N6" s="77" t="s">
        <v>733</v>
      </c>
      <c r="O6" s="75" t="s">
        <v>838</v>
      </c>
      <c r="P6" s="75" t="s">
        <v>839</v>
      </c>
      <c r="Q6" s="78" t="s">
        <v>17</v>
      </c>
      <c r="R6" s="79" t="s">
        <v>18</v>
      </c>
      <c r="S6" s="78" t="s">
        <v>17</v>
      </c>
      <c r="T6" s="79" t="s">
        <v>19</v>
      </c>
      <c r="U6" s="80" t="s">
        <v>841</v>
      </c>
      <c r="V6" s="80" t="s">
        <v>840</v>
      </c>
      <c r="W6" s="80" t="s">
        <v>20</v>
      </c>
      <c r="X6" s="81" t="s">
        <v>52</v>
      </c>
      <c r="Y6" s="80" t="s">
        <v>21</v>
      </c>
      <c r="Z6" s="23" t="s">
        <v>45</v>
      </c>
      <c r="AA6" s="161" t="s">
        <v>46</v>
      </c>
    </row>
    <row r="7" spans="1:28" ht="13.15" customHeight="1" thickBot="1">
      <c r="A7" s="189">
        <v>4</v>
      </c>
      <c r="B7" s="84" t="s">
        <v>22</v>
      </c>
      <c r="C7" s="137">
        <v>2</v>
      </c>
      <c r="D7" s="137">
        <v>2</v>
      </c>
      <c r="E7" s="137">
        <v>2</v>
      </c>
      <c r="F7" s="137">
        <v>2</v>
      </c>
      <c r="G7" s="24"/>
      <c r="H7" s="44">
        <v>7</v>
      </c>
      <c r="I7" s="44">
        <v>8</v>
      </c>
      <c r="J7" s="25">
        <v>9</v>
      </c>
      <c r="K7" s="44" t="s">
        <v>23</v>
      </c>
      <c r="L7" s="25" t="s">
        <v>24</v>
      </c>
      <c r="M7" s="44" t="s">
        <v>730</v>
      </c>
      <c r="N7" s="44" t="s">
        <v>731</v>
      </c>
      <c r="O7" s="44" t="s">
        <v>836</v>
      </c>
      <c r="P7" s="98" t="s">
        <v>837</v>
      </c>
      <c r="Q7" s="44">
        <v>13</v>
      </c>
      <c r="R7" s="26">
        <v>14</v>
      </c>
      <c r="S7" s="44">
        <v>15</v>
      </c>
      <c r="T7" s="26">
        <v>16</v>
      </c>
      <c r="U7" s="238">
        <v>17</v>
      </c>
      <c r="V7" s="239"/>
      <c r="W7" s="44">
        <v>18</v>
      </c>
      <c r="X7" s="26">
        <v>19</v>
      </c>
      <c r="Y7" s="44">
        <v>20</v>
      </c>
      <c r="Z7" s="26">
        <v>21</v>
      </c>
      <c r="AA7" s="163">
        <v>22</v>
      </c>
    </row>
    <row r="8" spans="1:28" ht="37.9" customHeight="1" thickBot="1">
      <c r="A8" s="190"/>
      <c r="B8" s="63"/>
      <c r="C8" s="140">
        <v>1</v>
      </c>
      <c r="D8" s="140">
        <v>0</v>
      </c>
      <c r="E8" s="140">
        <v>1</v>
      </c>
      <c r="F8" s="140">
        <v>1</v>
      </c>
      <c r="G8" s="41">
        <v>1</v>
      </c>
      <c r="H8" s="110" cm="1">
        <f t="array" ref="H8">IFERROR(SUM($C$7:$F$7*C8:F8),"")</f>
        <v>6</v>
      </c>
      <c r="I8" s="139" t="s">
        <v>1299</v>
      </c>
      <c r="J8" s="110" t="s">
        <v>1354</v>
      </c>
      <c r="K8" s="110" t="s">
        <v>1303</v>
      </c>
      <c r="L8" s="110" t="s">
        <v>1304</v>
      </c>
      <c r="M8" s="110" t="s">
        <v>1220</v>
      </c>
      <c r="N8" s="110" t="s">
        <v>811</v>
      </c>
      <c r="O8" s="110" t="s">
        <v>1217</v>
      </c>
      <c r="P8" s="62"/>
      <c r="Q8" s="110">
        <v>3</v>
      </c>
      <c r="R8" s="113"/>
      <c r="S8" s="110">
        <v>0</v>
      </c>
      <c r="T8" s="113"/>
      <c r="U8" s="110" t="s">
        <v>1106</v>
      </c>
      <c r="V8" s="207">
        <v>637.83143271988843</v>
      </c>
      <c r="W8" s="110">
        <v>14</v>
      </c>
      <c r="X8" s="113"/>
      <c r="Y8" s="110" t="s">
        <v>894</v>
      </c>
      <c r="Z8" s="213">
        <v>10632292</v>
      </c>
      <c r="AA8" s="197" t="s">
        <v>932</v>
      </c>
    </row>
    <row r="9" spans="1:28" ht="33" customHeight="1" thickBot="1">
      <c r="A9" s="192"/>
      <c r="B9" s="64"/>
      <c r="C9" s="140">
        <v>1</v>
      </c>
      <c r="D9" s="140">
        <v>1</v>
      </c>
      <c r="E9" s="140">
        <v>1</v>
      </c>
      <c r="F9" s="140">
        <v>1</v>
      </c>
      <c r="G9" s="41">
        <v>2</v>
      </c>
      <c r="H9" s="110" cm="1">
        <f t="array" ref="H9">IFERROR(SUM($C$7:$F$7*C9:F9),"")</f>
        <v>8</v>
      </c>
      <c r="I9" s="139" t="s">
        <v>1208</v>
      </c>
      <c r="J9" s="110" t="s">
        <v>1353</v>
      </c>
      <c r="K9" s="110" t="s">
        <v>1305</v>
      </c>
      <c r="L9" s="110" t="s">
        <v>1222</v>
      </c>
      <c r="M9" s="110" t="s">
        <v>1221</v>
      </c>
      <c r="N9" s="110" t="s">
        <v>811</v>
      </c>
      <c r="O9" s="110" t="s">
        <v>1217</v>
      </c>
      <c r="P9" s="110"/>
      <c r="Q9" s="110">
        <v>4</v>
      </c>
      <c r="R9" s="114"/>
      <c r="S9" s="110">
        <v>0</v>
      </c>
      <c r="T9" s="114"/>
      <c r="U9" s="110" t="s">
        <v>1106</v>
      </c>
      <c r="V9" s="207">
        <v>383.64446964754012</v>
      </c>
      <c r="W9" s="110">
        <v>14</v>
      </c>
      <c r="X9" s="114"/>
      <c r="Y9" s="110" t="s">
        <v>894</v>
      </c>
      <c r="Z9" s="213">
        <v>10632287</v>
      </c>
      <c r="AA9" s="197" t="s">
        <v>932</v>
      </c>
    </row>
    <row r="10" spans="1:28" ht="32.65" customHeight="1" thickBot="1">
      <c r="A10" s="192"/>
      <c r="B10" s="65"/>
      <c r="C10" s="140">
        <v>1</v>
      </c>
      <c r="D10" s="140">
        <v>1</v>
      </c>
      <c r="E10" s="140">
        <v>1</v>
      </c>
      <c r="F10" s="140">
        <v>1</v>
      </c>
      <c r="G10" s="41">
        <v>3</v>
      </c>
      <c r="H10" s="110" cm="1">
        <f t="array" ref="H10">IFERROR(SUM($C$7:$F$7*C10:F10),"")</f>
        <v>8</v>
      </c>
      <c r="I10" s="139" t="s">
        <v>1209</v>
      </c>
      <c r="J10" s="110" t="s">
        <v>1353</v>
      </c>
      <c r="K10" s="110" t="s">
        <v>1215</v>
      </c>
      <c r="L10" s="110" t="s">
        <v>1306</v>
      </c>
      <c r="M10" s="110" t="s">
        <v>1221</v>
      </c>
      <c r="N10" s="110" t="s">
        <v>811</v>
      </c>
      <c r="O10" s="110" t="s">
        <v>1217</v>
      </c>
      <c r="P10" s="110"/>
      <c r="Q10" s="110">
        <v>4</v>
      </c>
      <c r="R10" s="114"/>
      <c r="S10" s="110">
        <v>0</v>
      </c>
      <c r="T10" s="114"/>
      <c r="U10" s="110" t="s">
        <v>1106</v>
      </c>
      <c r="V10" s="207">
        <v>2557.5593880206002</v>
      </c>
      <c r="W10" s="110">
        <v>10</v>
      </c>
      <c r="X10" s="114"/>
      <c r="Y10" s="110" t="s">
        <v>894</v>
      </c>
      <c r="Z10" s="213">
        <v>10245681</v>
      </c>
      <c r="AA10" s="197" t="s">
        <v>932</v>
      </c>
    </row>
    <row r="11" spans="1:28" ht="34.9" customHeight="1" thickBot="1">
      <c r="A11" s="192"/>
      <c r="B11" s="65"/>
      <c r="C11" s="140">
        <v>1</v>
      </c>
      <c r="D11" s="140">
        <v>1</v>
      </c>
      <c r="E11" s="140">
        <v>1</v>
      </c>
      <c r="F11" s="140">
        <v>1</v>
      </c>
      <c r="G11" s="41">
        <v>4</v>
      </c>
      <c r="H11" s="110" cm="1">
        <f t="array" ref="H11">IFERROR(SUM($C$7:$F$7*C11:F11),"")</f>
        <v>8</v>
      </c>
      <c r="I11" s="139" t="s">
        <v>1300</v>
      </c>
      <c r="J11" s="110" t="s">
        <v>1353</v>
      </c>
      <c r="K11" s="110" t="s">
        <v>1307</v>
      </c>
      <c r="L11" s="110" t="s">
        <v>1308</v>
      </c>
      <c r="M11" s="110" t="s">
        <v>1220</v>
      </c>
      <c r="N11" s="110" t="s">
        <v>811</v>
      </c>
      <c r="O11" s="110" t="s">
        <v>1217</v>
      </c>
      <c r="P11" s="110"/>
      <c r="Q11" s="110">
        <v>4</v>
      </c>
      <c r="R11" s="115"/>
      <c r="S11" s="110">
        <v>0</v>
      </c>
      <c r="T11" s="115"/>
      <c r="U11" s="110" t="s">
        <v>1106</v>
      </c>
      <c r="V11" s="207">
        <v>380.83542188805353</v>
      </c>
      <c r="W11" s="110">
        <v>14</v>
      </c>
      <c r="X11" s="115"/>
      <c r="Y11" s="110" t="s">
        <v>894</v>
      </c>
      <c r="Z11" s="213">
        <v>10632283</v>
      </c>
      <c r="AA11" s="197" t="s">
        <v>932</v>
      </c>
    </row>
    <row r="12" spans="1:28" ht="37.9" customHeight="1" thickBot="1">
      <c r="A12" s="192"/>
      <c r="B12" s="65"/>
      <c r="C12" s="140">
        <v>1</v>
      </c>
      <c r="D12" s="140">
        <v>1</v>
      </c>
      <c r="E12" s="140">
        <v>1</v>
      </c>
      <c r="F12" s="140">
        <v>1</v>
      </c>
      <c r="G12" s="56">
        <v>5</v>
      </c>
      <c r="H12" s="110" cm="1">
        <f t="array" ref="H12">IFERROR(SUM($C$7:$F$7*C12:F12),"")</f>
        <v>8</v>
      </c>
      <c r="I12" s="139" t="s">
        <v>1300</v>
      </c>
      <c r="J12" s="110" t="s">
        <v>1353</v>
      </c>
      <c r="K12" s="110" t="s">
        <v>1309</v>
      </c>
      <c r="L12" s="110" t="s">
        <v>1310</v>
      </c>
      <c r="M12" s="110" t="s">
        <v>1220</v>
      </c>
      <c r="N12" s="110" t="s">
        <v>811</v>
      </c>
      <c r="O12" s="110" t="s">
        <v>1217</v>
      </c>
      <c r="P12" s="110"/>
      <c r="Q12" s="110">
        <v>4</v>
      </c>
      <c r="R12" s="115"/>
      <c r="S12" s="110">
        <v>0</v>
      </c>
      <c r="T12" s="115"/>
      <c r="U12" s="110" t="s">
        <v>1106</v>
      </c>
      <c r="V12" s="207">
        <v>535.55555555555554</v>
      </c>
      <c r="W12" s="110">
        <v>14</v>
      </c>
      <c r="X12" s="115"/>
      <c r="Y12" s="110" t="s">
        <v>894</v>
      </c>
      <c r="Z12" s="213">
        <v>10632284</v>
      </c>
      <c r="AA12" s="197" t="s">
        <v>932</v>
      </c>
    </row>
    <row r="13" spans="1:28" ht="37.9" customHeight="1" thickBot="1">
      <c r="A13" s="192"/>
      <c r="B13" s="65"/>
      <c r="C13" s="140">
        <v>1</v>
      </c>
      <c r="D13" s="140">
        <v>1</v>
      </c>
      <c r="E13" s="140">
        <v>1</v>
      </c>
      <c r="F13" s="140">
        <v>1</v>
      </c>
      <c r="G13" s="41">
        <v>6</v>
      </c>
      <c r="H13" s="110" cm="1">
        <f t="array" ref="H13">IFERROR(SUM($C$7:$F$7*C13:F13),"")</f>
        <v>8</v>
      </c>
      <c r="I13" s="139" t="s">
        <v>1210</v>
      </c>
      <c r="J13" s="110" t="s">
        <v>1353</v>
      </c>
      <c r="K13" s="110" t="s">
        <v>1216</v>
      </c>
      <c r="L13" s="110" t="s">
        <v>1311</v>
      </c>
      <c r="M13" s="110" t="s">
        <v>1221</v>
      </c>
      <c r="N13" s="110" t="s">
        <v>811</v>
      </c>
      <c r="O13" s="110" t="s">
        <v>1217</v>
      </c>
      <c r="P13" s="110"/>
      <c r="Q13" s="110">
        <v>4</v>
      </c>
      <c r="R13" s="113"/>
      <c r="S13" s="110">
        <v>0</v>
      </c>
      <c r="T13" s="113"/>
      <c r="U13" s="110" t="s">
        <v>1106</v>
      </c>
      <c r="V13" s="207">
        <v>264.32748538011697</v>
      </c>
      <c r="W13" s="110">
        <v>12</v>
      </c>
      <c r="X13" s="113"/>
      <c r="Y13" s="110" t="s">
        <v>894</v>
      </c>
      <c r="Z13" s="213">
        <v>10617318</v>
      </c>
      <c r="AA13" s="197" t="s">
        <v>932</v>
      </c>
    </row>
    <row r="14" spans="1:28" ht="33.75" thickBot="1">
      <c r="A14" s="192"/>
      <c r="B14" s="65"/>
      <c r="C14" s="140">
        <v>1</v>
      </c>
      <c r="D14" s="140">
        <v>0</v>
      </c>
      <c r="E14" s="140">
        <v>1</v>
      </c>
      <c r="F14" s="140">
        <v>1</v>
      </c>
      <c r="G14" s="41">
        <v>7</v>
      </c>
      <c r="H14" s="110" cm="1">
        <f t="array" ref="H14">IFERROR(SUM($C$7:$F$7*C14:F14),"")</f>
        <v>6</v>
      </c>
      <c r="I14" s="139" t="s">
        <v>1211</v>
      </c>
      <c r="J14" s="110" t="s">
        <v>1354</v>
      </c>
      <c r="K14" s="110" t="s">
        <v>1312</v>
      </c>
      <c r="L14" s="110" t="s">
        <v>1223</v>
      </c>
      <c r="M14" s="110" t="s">
        <v>1224</v>
      </c>
      <c r="N14" s="110" t="s">
        <v>811</v>
      </c>
      <c r="O14" s="110" t="s">
        <v>1217</v>
      </c>
      <c r="P14" s="110"/>
      <c r="Q14" s="110">
        <v>3</v>
      </c>
      <c r="R14" s="114"/>
      <c r="S14" s="110">
        <v>0</v>
      </c>
      <c r="T14" s="114"/>
      <c r="U14" s="110" t="s">
        <v>1106</v>
      </c>
      <c r="V14" s="207">
        <v>3711.8803594803248</v>
      </c>
      <c r="W14" s="110">
        <v>18</v>
      </c>
      <c r="X14" s="114"/>
      <c r="Y14" s="110" t="s">
        <v>894</v>
      </c>
      <c r="Z14" s="213">
        <v>10632272</v>
      </c>
      <c r="AA14" s="197" t="s">
        <v>932</v>
      </c>
    </row>
    <row r="15" spans="1:28" ht="33.75" thickBot="1">
      <c r="A15" s="192"/>
      <c r="B15" s="66" t="s">
        <v>6</v>
      </c>
      <c r="C15" s="140">
        <v>2</v>
      </c>
      <c r="D15" s="140">
        <v>0</v>
      </c>
      <c r="E15" s="140">
        <v>2</v>
      </c>
      <c r="F15" s="140">
        <v>2</v>
      </c>
      <c r="G15" s="41">
        <v>8</v>
      </c>
      <c r="H15" s="110" cm="1">
        <f t="array" ref="H15">IFERROR(SUM($C$7:$F$7*C15:F15),"")</f>
        <v>12</v>
      </c>
      <c r="I15" s="139" t="s">
        <v>1301</v>
      </c>
      <c r="J15" s="110" t="s">
        <v>1354</v>
      </c>
      <c r="K15" s="110" t="s">
        <v>1314</v>
      </c>
      <c r="L15" s="110" t="s">
        <v>1315</v>
      </c>
      <c r="M15" s="110" t="s">
        <v>1263</v>
      </c>
      <c r="N15" s="110" t="s">
        <v>811</v>
      </c>
      <c r="O15" s="110" t="s">
        <v>1217</v>
      </c>
      <c r="P15" s="110"/>
      <c r="Q15" s="110">
        <v>6</v>
      </c>
      <c r="R15" s="114"/>
      <c r="S15" s="110">
        <v>0</v>
      </c>
      <c r="T15" s="114"/>
      <c r="U15" s="110" t="s">
        <v>1106</v>
      </c>
      <c r="V15" s="207">
        <v>430.68994882207642</v>
      </c>
      <c r="W15" s="110">
        <v>18</v>
      </c>
      <c r="X15" s="114"/>
      <c r="Y15" s="110" t="s">
        <v>894</v>
      </c>
      <c r="Z15" s="213">
        <v>10632288</v>
      </c>
      <c r="AA15" s="197" t="s">
        <v>932</v>
      </c>
    </row>
    <row r="16" spans="1:28" ht="33.75" thickBot="1">
      <c r="A16" s="192"/>
      <c r="B16" s="67" t="s">
        <v>6</v>
      </c>
      <c r="C16" s="140">
        <v>1</v>
      </c>
      <c r="D16" s="140">
        <v>0</v>
      </c>
      <c r="E16" s="140">
        <v>1</v>
      </c>
      <c r="F16" s="140">
        <v>1</v>
      </c>
      <c r="G16" s="41">
        <v>9</v>
      </c>
      <c r="H16" s="110" cm="1">
        <f t="array" ref="H16">IFERROR(SUM($C$7:$F$7*C16:F16),"")</f>
        <v>6</v>
      </c>
      <c r="I16" s="139" t="s">
        <v>1302</v>
      </c>
      <c r="J16" s="110" t="s">
        <v>1354</v>
      </c>
      <c r="K16" s="110" t="s">
        <v>1316</v>
      </c>
      <c r="L16" s="110" t="s">
        <v>1317</v>
      </c>
      <c r="M16" s="110" t="s">
        <v>1220</v>
      </c>
      <c r="N16" s="110" t="s">
        <v>811</v>
      </c>
      <c r="O16" s="110" t="s">
        <v>1217</v>
      </c>
      <c r="P16" s="110"/>
      <c r="Q16" s="110">
        <v>3</v>
      </c>
      <c r="R16" s="114"/>
      <c r="S16" s="110">
        <v>0</v>
      </c>
      <c r="T16" s="114"/>
      <c r="U16" s="110" t="s">
        <v>1106</v>
      </c>
      <c r="V16" s="207">
        <v>165.68265980993215</v>
      </c>
      <c r="W16" s="110">
        <v>14</v>
      </c>
      <c r="X16" s="114"/>
      <c r="Y16" s="110" t="s">
        <v>894</v>
      </c>
      <c r="Z16" s="213">
        <v>10632278</v>
      </c>
      <c r="AA16" s="197" t="s">
        <v>932</v>
      </c>
    </row>
    <row r="17" spans="1:27" ht="33.75" thickBot="1">
      <c r="A17" s="192"/>
      <c r="B17" s="65"/>
      <c r="C17" s="140">
        <v>1</v>
      </c>
      <c r="D17" s="140">
        <v>1</v>
      </c>
      <c r="E17" s="140">
        <v>1</v>
      </c>
      <c r="F17" s="140">
        <v>1</v>
      </c>
      <c r="G17" s="56">
        <v>10</v>
      </c>
      <c r="H17" s="110" cm="1">
        <f t="array" ref="H17">IFERROR(SUM($C$7:$F$7*C17:F17),"")</f>
        <v>8</v>
      </c>
      <c r="I17" s="139" t="s">
        <v>1212</v>
      </c>
      <c r="J17" s="110" t="s">
        <v>1353</v>
      </c>
      <c r="K17" s="110" t="s">
        <v>1318</v>
      </c>
      <c r="L17" s="110" t="s">
        <v>1319</v>
      </c>
      <c r="M17" s="110" t="s">
        <v>1220</v>
      </c>
      <c r="N17" s="110" t="s">
        <v>811</v>
      </c>
      <c r="O17" s="110" t="s">
        <v>1217</v>
      </c>
      <c r="P17" s="110"/>
      <c r="Q17" s="110">
        <v>4</v>
      </c>
      <c r="R17" s="115"/>
      <c r="S17" s="110">
        <v>0</v>
      </c>
      <c r="T17" s="115"/>
      <c r="U17" s="110" t="s">
        <v>1106</v>
      </c>
      <c r="V17" s="207">
        <v>251.09834179959435</v>
      </c>
      <c r="W17" s="110">
        <v>14</v>
      </c>
      <c r="X17" s="115"/>
      <c r="Y17" s="110" t="s">
        <v>894</v>
      </c>
      <c r="Z17" s="213">
        <v>10632270</v>
      </c>
      <c r="AA17" s="197" t="s">
        <v>932</v>
      </c>
    </row>
    <row r="18" spans="1:27" ht="33.75" thickBot="1">
      <c r="A18" s="193">
        <v>5</v>
      </c>
      <c r="B18" s="68" t="s">
        <v>25</v>
      </c>
      <c r="C18" s="140">
        <v>1</v>
      </c>
      <c r="D18" s="140">
        <v>1</v>
      </c>
      <c r="E18" s="140">
        <v>1</v>
      </c>
      <c r="F18" s="140">
        <v>1</v>
      </c>
      <c r="G18" s="41">
        <v>11</v>
      </c>
      <c r="H18" s="110" cm="1">
        <f t="array" ref="H18">IFERROR(SUM($C$7:$F$7*C18:F18),"")</f>
        <v>8</v>
      </c>
      <c r="I18" s="139" t="s">
        <v>1213</v>
      </c>
      <c r="J18" s="110" t="s">
        <v>1353</v>
      </c>
      <c r="K18" s="110" t="s">
        <v>1320</v>
      </c>
      <c r="L18" s="110" t="s">
        <v>1321</v>
      </c>
      <c r="M18" s="110" t="s">
        <v>1221</v>
      </c>
      <c r="N18" s="110" t="s">
        <v>811</v>
      </c>
      <c r="O18" s="110" t="s">
        <v>1217</v>
      </c>
      <c r="P18" s="110"/>
      <c r="Q18" s="110">
        <v>4</v>
      </c>
      <c r="R18" s="113"/>
      <c r="S18" s="110">
        <v>0</v>
      </c>
      <c r="T18" s="113"/>
      <c r="U18" s="110" t="s">
        <v>1106</v>
      </c>
      <c r="V18" s="207">
        <v>51.143794749296987</v>
      </c>
      <c r="W18" s="110">
        <v>14</v>
      </c>
      <c r="X18" s="113"/>
      <c r="Y18" s="110" t="s">
        <v>894</v>
      </c>
      <c r="Z18" s="213">
        <v>10245694</v>
      </c>
      <c r="AA18" s="197" t="s">
        <v>932</v>
      </c>
    </row>
    <row r="19" spans="1:27" ht="33.75" thickBot="1">
      <c r="A19" s="192"/>
      <c r="B19" s="69" t="s">
        <v>26</v>
      </c>
      <c r="C19" s="140">
        <v>4</v>
      </c>
      <c r="D19" s="140">
        <v>0</v>
      </c>
      <c r="E19" s="140">
        <v>4</v>
      </c>
      <c r="F19" s="140">
        <v>4</v>
      </c>
      <c r="G19" s="41">
        <v>12</v>
      </c>
      <c r="H19" s="110" cm="1">
        <f t="array" ref="H19">IFERROR(SUM($C$7:$F$7*C19:F19),"")</f>
        <v>24</v>
      </c>
      <c r="I19" s="139" t="s">
        <v>1214</v>
      </c>
      <c r="J19" s="110" t="s">
        <v>1354</v>
      </c>
      <c r="K19" s="110" t="s">
        <v>1322</v>
      </c>
      <c r="L19" s="110" t="s">
        <v>1323</v>
      </c>
      <c r="M19" s="110" t="s">
        <v>1220</v>
      </c>
      <c r="N19" s="110" t="s">
        <v>811</v>
      </c>
      <c r="O19" s="110" t="s">
        <v>1217</v>
      </c>
      <c r="P19" s="110"/>
      <c r="Q19" s="110">
        <v>12</v>
      </c>
      <c r="R19" s="114"/>
      <c r="S19" s="110">
        <v>0</v>
      </c>
      <c r="T19" s="114"/>
      <c r="U19" s="110" t="s">
        <v>1106</v>
      </c>
      <c r="V19" s="207">
        <v>284.81575320633277</v>
      </c>
      <c r="W19" s="110">
        <v>12</v>
      </c>
      <c r="X19" s="114"/>
      <c r="Y19" s="110" t="s">
        <v>894</v>
      </c>
      <c r="Z19" s="213">
        <v>10632280</v>
      </c>
      <c r="AA19" s="197" t="s">
        <v>932</v>
      </c>
    </row>
    <row r="20" spans="1:27" ht="33.75" thickBot="1">
      <c r="A20" s="192"/>
      <c r="B20" s="68" t="s">
        <v>27</v>
      </c>
      <c r="C20" s="140">
        <v>1</v>
      </c>
      <c r="D20" s="140">
        <v>1</v>
      </c>
      <c r="E20" s="140">
        <v>1</v>
      </c>
      <c r="F20" s="140">
        <v>1</v>
      </c>
      <c r="G20" s="41">
        <v>13</v>
      </c>
      <c r="H20" s="110" cm="1">
        <f t="array" ref="H20">IFERROR(SUM($C$7:$F$7*C20:F20),"")</f>
        <v>8</v>
      </c>
      <c r="I20" s="139" t="s">
        <v>1214</v>
      </c>
      <c r="J20" s="110" t="s">
        <v>1353</v>
      </c>
      <c r="K20" s="110" t="s">
        <v>1324</v>
      </c>
      <c r="L20" s="110" t="s">
        <v>1325</v>
      </c>
      <c r="M20" s="110" t="s">
        <v>1220</v>
      </c>
      <c r="N20" s="110" t="s">
        <v>811</v>
      </c>
      <c r="O20" s="110" t="s">
        <v>1217</v>
      </c>
      <c r="P20" s="110"/>
      <c r="Q20" s="110">
        <v>4</v>
      </c>
      <c r="R20" s="114"/>
      <c r="S20" s="110">
        <v>0</v>
      </c>
      <c r="T20" s="114"/>
      <c r="U20" s="110" t="s">
        <v>1106</v>
      </c>
      <c r="V20" s="207">
        <v>69.758340592484586</v>
      </c>
      <c r="W20" s="110">
        <v>12</v>
      </c>
      <c r="X20" s="114"/>
      <c r="Y20" s="110" t="s">
        <v>894</v>
      </c>
      <c r="Z20" s="213">
        <v>10632281</v>
      </c>
      <c r="AA20" s="197" t="s">
        <v>932</v>
      </c>
    </row>
    <row r="21" spans="1:27" ht="33.75" thickBot="1">
      <c r="A21" s="192"/>
      <c r="B21" s="69" t="s">
        <v>28</v>
      </c>
      <c r="C21" s="140">
        <v>1</v>
      </c>
      <c r="D21" s="140">
        <v>0</v>
      </c>
      <c r="E21" s="140">
        <v>1</v>
      </c>
      <c r="F21" s="140">
        <v>1</v>
      </c>
      <c r="G21" s="41">
        <v>14</v>
      </c>
      <c r="H21" s="110" cm="1">
        <f t="array" ref="H21">IFERROR(SUM($C$7:$F$7*C21:F21),"")</f>
        <v>6</v>
      </c>
      <c r="I21" s="139" t="s">
        <v>1214</v>
      </c>
      <c r="J21" s="110" t="s">
        <v>1354</v>
      </c>
      <c r="K21" s="110" t="s">
        <v>1326</v>
      </c>
      <c r="L21" s="110" t="s">
        <v>1225</v>
      </c>
      <c r="M21" s="110" t="s">
        <v>1327</v>
      </c>
      <c r="N21" s="110" t="s">
        <v>811</v>
      </c>
      <c r="O21" s="110" t="s">
        <v>1217</v>
      </c>
      <c r="P21" s="110"/>
      <c r="Q21" s="110">
        <v>3</v>
      </c>
      <c r="R21" s="114"/>
      <c r="S21" s="110">
        <v>0</v>
      </c>
      <c r="T21" s="114"/>
      <c r="U21" s="110" t="s">
        <v>1106</v>
      </c>
      <c r="V21" s="207">
        <v>28.67167919799499</v>
      </c>
      <c r="W21" s="110">
        <v>12</v>
      </c>
      <c r="X21" s="114"/>
      <c r="Y21" s="110" t="s">
        <v>894</v>
      </c>
      <c r="Z21" s="213">
        <v>10632282</v>
      </c>
      <c r="AA21" s="197" t="s">
        <v>932</v>
      </c>
    </row>
    <row r="22" spans="1:27" ht="33.75" thickBot="1">
      <c r="A22" s="192"/>
      <c r="B22" s="68" t="s">
        <v>29</v>
      </c>
      <c r="C22" s="140">
        <v>1</v>
      </c>
      <c r="D22" s="140">
        <v>0</v>
      </c>
      <c r="E22" s="140">
        <v>1</v>
      </c>
      <c r="F22" s="140">
        <v>1</v>
      </c>
      <c r="G22" s="56">
        <v>15</v>
      </c>
      <c r="H22" s="110" cm="1">
        <f t="array" ref="H22">IFERROR(SUM($C$7:$F$7*C22:F22),"")</f>
        <v>6</v>
      </c>
      <c r="I22" s="139" t="s">
        <v>1214</v>
      </c>
      <c r="J22" s="110" t="s">
        <v>1354</v>
      </c>
      <c r="K22" s="110" t="s">
        <v>1328</v>
      </c>
      <c r="L22" s="110" t="s">
        <v>1226</v>
      </c>
      <c r="M22" s="110" t="s">
        <v>1220</v>
      </c>
      <c r="N22" s="110" t="s">
        <v>811</v>
      </c>
      <c r="O22" s="110" t="s">
        <v>1217</v>
      </c>
      <c r="P22" s="110"/>
      <c r="Q22" s="110">
        <v>3</v>
      </c>
      <c r="R22" s="115"/>
      <c r="S22" s="110">
        <v>0</v>
      </c>
      <c r="T22" s="115"/>
      <c r="U22" s="110" t="s">
        <v>1106</v>
      </c>
      <c r="V22" s="207">
        <v>373.16223603087985</v>
      </c>
      <c r="W22" s="110">
        <v>12</v>
      </c>
      <c r="X22" s="115"/>
      <c r="Y22" s="110" t="s">
        <v>894</v>
      </c>
      <c r="Z22" s="213">
        <v>10632279</v>
      </c>
      <c r="AA22" s="197" t="s">
        <v>932</v>
      </c>
    </row>
    <row r="23" spans="1:27" ht="13.5" thickBot="1">
      <c r="A23" s="192"/>
      <c r="B23" s="69" t="s">
        <v>30</v>
      </c>
      <c r="C23" s="140"/>
      <c r="D23" s="140"/>
      <c r="E23" s="140"/>
      <c r="F23" s="140"/>
      <c r="G23" s="41">
        <v>16</v>
      </c>
      <c r="H23" s="110"/>
      <c r="I23" s="139"/>
      <c r="J23" s="139"/>
      <c r="K23" s="139"/>
      <c r="L23" s="139"/>
      <c r="M23" s="139"/>
      <c r="N23" s="139"/>
      <c r="O23" s="139"/>
      <c r="P23" s="139"/>
      <c r="Q23" s="139"/>
      <c r="R23" s="113"/>
      <c r="S23" s="110"/>
      <c r="T23" s="113"/>
      <c r="U23" s="110"/>
      <c r="V23" s="110"/>
      <c r="W23" s="110"/>
      <c r="X23" s="113"/>
      <c r="Y23" s="110"/>
      <c r="Z23" s="113"/>
      <c r="AA23" s="197"/>
    </row>
    <row r="24" spans="1:27" ht="13.5" thickBot="1">
      <c r="A24" s="192"/>
      <c r="B24" s="70" t="s">
        <v>31</v>
      </c>
      <c r="C24" s="140"/>
      <c r="D24" s="140"/>
      <c r="E24" s="140"/>
      <c r="F24" s="140"/>
      <c r="G24" s="41">
        <v>17</v>
      </c>
      <c r="H24" s="111"/>
      <c r="I24" s="139"/>
      <c r="J24" s="139"/>
      <c r="K24" s="139"/>
      <c r="L24" s="139"/>
      <c r="M24" s="139"/>
      <c r="N24" s="139"/>
      <c r="O24" s="139"/>
      <c r="P24" s="139"/>
      <c r="Q24" s="139"/>
      <c r="R24" s="114"/>
      <c r="S24" s="110"/>
      <c r="T24" s="114"/>
      <c r="U24" s="110"/>
      <c r="V24" s="110"/>
      <c r="W24" s="110"/>
      <c r="X24" s="114"/>
      <c r="Y24" s="110"/>
      <c r="Z24" s="114"/>
      <c r="AA24" s="197"/>
    </row>
    <row r="25" spans="1:27" ht="13.5" thickBot="1">
      <c r="A25" s="192"/>
      <c r="B25" s="70" t="s">
        <v>32</v>
      </c>
      <c r="C25" s="140"/>
      <c r="D25" s="140"/>
      <c r="E25" s="140"/>
      <c r="F25" s="140"/>
      <c r="G25" s="41">
        <v>18</v>
      </c>
      <c r="H25" s="111"/>
      <c r="I25" s="139"/>
      <c r="J25" s="139"/>
      <c r="K25" s="139"/>
      <c r="L25" s="139"/>
      <c r="M25" s="139"/>
      <c r="N25" s="139"/>
      <c r="O25" s="139"/>
      <c r="P25" s="139"/>
      <c r="Q25" s="139"/>
      <c r="R25" s="114"/>
      <c r="S25" s="110"/>
      <c r="T25" s="114"/>
      <c r="U25" s="110"/>
      <c r="V25" s="110"/>
      <c r="W25" s="110"/>
      <c r="X25" s="114"/>
      <c r="Y25" s="110"/>
      <c r="Z25" s="114"/>
      <c r="AA25" s="197"/>
    </row>
    <row r="26" spans="1:27" ht="13.5" thickBot="1">
      <c r="A26" s="192"/>
      <c r="B26" s="70" t="s">
        <v>6</v>
      </c>
      <c r="C26" s="140"/>
      <c r="D26" s="140"/>
      <c r="E26" s="140"/>
      <c r="F26" s="140"/>
      <c r="G26" s="41">
        <v>19</v>
      </c>
      <c r="H26" s="111"/>
      <c r="I26" s="139"/>
      <c r="J26" s="110"/>
      <c r="K26" s="110"/>
      <c r="L26" s="110"/>
      <c r="M26" s="110"/>
      <c r="N26" s="110"/>
      <c r="O26" s="110"/>
      <c r="P26" s="127"/>
      <c r="Q26" s="110"/>
      <c r="R26" s="114"/>
      <c r="S26" s="110"/>
      <c r="T26" s="114"/>
      <c r="U26" s="110"/>
      <c r="V26" s="110"/>
      <c r="W26" s="110"/>
      <c r="X26" s="114"/>
      <c r="Y26" s="110"/>
      <c r="Z26" s="114"/>
      <c r="AA26" s="197"/>
    </row>
    <row r="27" spans="1:27" ht="13.5" thickBot="1">
      <c r="A27" s="192"/>
      <c r="B27" s="64"/>
      <c r="C27" s="140"/>
      <c r="D27" s="140"/>
      <c r="E27" s="140"/>
      <c r="F27" s="140"/>
      <c r="G27" s="56">
        <v>20</v>
      </c>
      <c r="H27" s="112"/>
      <c r="I27" s="139"/>
      <c r="J27" s="110"/>
      <c r="K27" s="110"/>
      <c r="L27" s="110"/>
      <c r="M27" s="110"/>
      <c r="N27" s="110"/>
      <c r="O27" s="110"/>
      <c r="P27" s="127"/>
      <c r="Q27" s="110"/>
      <c r="R27" s="115"/>
      <c r="S27" s="110"/>
      <c r="T27" s="115"/>
      <c r="U27" s="110"/>
      <c r="V27" s="110"/>
      <c r="W27" s="110"/>
      <c r="X27" s="115"/>
      <c r="Y27" s="110"/>
      <c r="Z27" s="115"/>
      <c r="AA27" s="197"/>
    </row>
    <row r="28" spans="1:27" ht="13.5" thickBot="1">
      <c r="A28" s="192"/>
      <c r="B28" s="71"/>
      <c r="C28" s="140"/>
      <c r="D28" s="140"/>
      <c r="E28" s="140"/>
      <c r="F28" s="140"/>
      <c r="G28" s="41">
        <v>21</v>
      </c>
      <c r="H28" s="110"/>
      <c r="I28" s="139"/>
      <c r="J28" s="110"/>
      <c r="K28" s="110"/>
      <c r="L28" s="110"/>
      <c r="M28" s="110"/>
      <c r="N28" s="110"/>
      <c r="O28" s="110"/>
      <c r="P28" s="127"/>
      <c r="Q28" s="110"/>
      <c r="R28" s="113"/>
      <c r="S28" s="110"/>
      <c r="T28" s="113"/>
      <c r="U28" s="110"/>
      <c r="V28" s="110"/>
      <c r="W28" s="110"/>
      <c r="X28" s="113"/>
      <c r="Y28" s="110"/>
      <c r="Z28" s="113"/>
      <c r="AA28" s="197"/>
    </row>
    <row r="29" spans="1:27" ht="13.5" thickBot="1">
      <c r="A29" s="192"/>
      <c r="B29" s="71"/>
      <c r="C29" s="140"/>
      <c r="D29" s="140"/>
      <c r="E29" s="140"/>
      <c r="F29" s="140"/>
      <c r="G29" s="41">
        <v>22</v>
      </c>
      <c r="H29" s="111"/>
      <c r="I29" s="139"/>
      <c r="J29" s="110"/>
      <c r="K29" s="110"/>
      <c r="L29" s="110"/>
      <c r="M29" s="110"/>
      <c r="N29" s="110"/>
      <c r="O29" s="110"/>
      <c r="P29" s="127"/>
      <c r="Q29" s="110"/>
      <c r="R29" s="114"/>
      <c r="S29" s="110"/>
      <c r="T29" s="114"/>
      <c r="U29" s="110"/>
      <c r="V29" s="110"/>
      <c r="W29" s="110"/>
      <c r="X29" s="114"/>
      <c r="Y29" s="110"/>
      <c r="Z29" s="114"/>
      <c r="AA29" s="197"/>
    </row>
    <row r="30" spans="1:27" ht="13.5" thickBot="1">
      <c r="A30" s="192"/>
      <c r="B30" s="71"/>
      <c r="C30" s="110"/>
      <c r="D30" s="110"/>
      <c r="E30" s="110"/>
      <c r="F30" s="110"/>
      <c r="G30" s="41">
        <v>23</v>
      </c>
      <c r="H30" s="111"/>
      <c r="I30" s="139"/>
      <c r="J30" s="110"/>
      <c r="K30" s="110"/>
      <c r="L30" s="110"/>
      <c r="M30" s="110"/>
      <c r="N30" s="110"/>
      <c r="O30" s="110"/>
      <c r="P30" s="127"/>
      <c r="Q30" s="110"/>
      <c r="R30" s="114"/>
      <c r="S30" s="110"/>
      <c r="T30" s="114"/>
      <c r="U30" s="110"/>
      <c r="V30" s="110"/>
      <c r="W30" s="110"/>
      <c r="X30" s="114"/>
      <c r="Y30" s="110"/>
      <c r="Z30" s="114"/>
      <c r="AA30" s="197"/>
    </row>
    <row r="31" spans="1:27" ht="13.5" thickBot="1">
      <c r="A31" s="192"/>
      <c r="B31" s="71"/>
      <c r="C31" s="110"/>
      <c r="D31" s="110"/>
      <c r="E31" s="110"/>
      <c r="F31" s="110"/>
      <c r="G31" s="56">
        <v>24</v>
      </c>
      <c r="H31" s="112"/>
      <c r="I31" s="139"/>
      <c r="J31" s="110"/>
      <c r="K31" s="110"/>
      <c r="L31" s="110"/>
      <c r="M31" s="110"/>
      <c r="N31" s="110"/>
      <c r="O31" s="110"/>
      <c r="P31" s="127"/>
      <c r="Q31" s="110"/>
      <c r="R31" s="116"/>
      <c r="S31" s="110"/>
      <c r="T31" s="116"/>
      <c r="U31" s="110"/>
      <c r="V31" s="110"/>
      <c r="W31" s="110"/>
      <c r="X31" s="115"/>
      <c r="Y31" s="110"/>
      <c r="Z31" s="115"/>
      <c r="AA31" s="197"/>
    </row>
    <row r="32" spans="1:27" ht="22.9" customHeight="1" thickBot="1">
      <c r="A32" s="184" t="s">
        <v>6</v>
      </c>
      <c r="B32" s="27" t="s">
        <v>6</v>
      </c>
      <c r="C32" s="230" t="s">
        <v>1355</v>
      </c>
      <c r="D32" s="230" t="s">
        <v>1356</v>
      </c>
      <c r="E32" s="230" t="s">
        <v>1357</v>
      </c>
      <c r="F32" s="230" t="s">
        <v>1358</v>
      </c>
      <c r="G32" s="276"/>
      <c r="H32" s="232"/>
      <c r="I32" s="28" t="s">
        <v>33</v>
      </c>
      <c r="J32" s="130" t="s">
        <v>1229</v>
      </c>
      <c r="K32" s="222" t="s">
        <v>51</v>
      </c>
      <c r="L32" s="223"/>
      <c r="M32" s="223"/>
      <c r="N32" s="223"/>
      <c r="O32" s="224"/>
      <c r="P32" s="240" t="s">
        <v>1125</v>
      </c>
      <c r="Q32" s="241"/>
      <c r="R32" s="241"/>
      <c r="S32" s="241"/>
      <c r="T32" s="241"/>
      <c r="U32" s="241"/>
      <c r="V32" s="242"/>
      <c r="W32" s="29" t="s">
        <v>34</v>
      </c>
      <c r="X32" s="30"/>
      <c r="Y32" s="217" t="s">
        <v>1383</v>
      </c>
      <c r="Z32" s="218"/>
      <c r="AA32" s="219"/>
    </row>
    <row r="33" spans="1:27" ht="17.100000000000001" customHeight="1" thickTop="1" thickBot="1">
      <c r="A33" s="185"/>
      <c r="B33" s="43" t="s">
        <v>35</v>
      </c>
      <c r="C33" s="230"/>
      <c r="D33" s="230"/>
      <c r="E33" s="230"/>
      <c r="F33" s="230"/>
      <c r="G33" s="277"/>
      <c r="H33" s="233"/>
      <c r="I33" s="32" t="s">
        <v>36</v>
      </c>
      <c r="J33" s="130" t="s">
        <v>1230</v>
      </c>
      <c r="K33" s="142" t="s">
        <v>1231</v>
      </c>
      <c r="L33" s="225" t="s">
        <v>1232</v>
      </c>
      <c r="M33" s="225"/>
      <c r="N33" s="142" t="s">
        <v>1233</v>
      </c>
      <c r="O33" s="142" t="s">
        <v>1234</v>
      </c>
      <c r="P33" s="243"/>
      <c r="Q33" s="244"/>
      <c r="R33" s="244"/>
      <c r="S33" s="244"/>
      <c r="T33" s="244"/>
      <c r="U33" s="244"/>
      <c r="V33" s="245"/>
      <c r="W33" s="33" t="s">
        <v>37</v>
      </c>
      <c r="X33" s="34"/>
      <c r="Y33" s="217">
        <v>45888</v>
      </c>
      <c r="Z33" s="218"/>
      <c r="AA33" s="219"/>
    </row>
    <row r="34" spans="1:27" ht="17.100000000000001" customHeight="1" thickTop="1" thickBot="1">
      <c r="A34" s="185">
        <v>6</v>
      </c>
      <c r="B34" s="31" t="s">
        <v>49</v>
      </c>
      <c r="C34" s="230"/>
      <c r="D34" s="230"/>
      <c r="E34" s="230"/>
      <c r="F34" s="230"/>
      <c r="G34" s="277"/>
      <c r="H34" s="233"/>
      <c r="I34" s="35" t="s">
        <v>38</v>
      </c>
      <c r="J34" s="130" t="s">
        <v>1379</v>
      </c>
      <c r="K34" s="142" t="s">
        <v>1235</v>
      </c>
      <c r="L34" s="225" t="s">
        <v>1236</v>
      </c>
      <c r="M34" s="225"/>
      <c r="N34" s="142" t="s">
        <v>1237</v>
      </c>
      <c r="O34" s="142" t="s">
        <v>1238</v>
      </c>
      <c r="P34" s="243"/>
      <c r="Q34" s="244"/>
      <c r="R34" s="244"/>
      <c r="S34" s="244"/>
      <c r="T34" s="244"/>
      <c r="U34" s="244"/>
      <c r="V34" s="245"/>
      <c r="W34" s="33" t="s">
        <v>39</v>
      </c>
      <c r="X34" s="34"/>
      <c r="Y34" s="274"/>
      <c r="Z34" s="274"/>
      <c r="AA34" s="275"/>
    </row>
    <row r="35" spans="1:27" ht="17.100000000000001" customHeight="1">
      <c r="A35" s="185"/>
      <c r="B35" s="42" t="s">
        <v>48</v>
      </c>
      <c r="C35" s="230"/>
      <c r="D35" s="230"/>
      <c r="E35" s="230"/>
      <c r="F35" s="230"/>
      <c r="G35" s="277"/>
      <c r="H35" s="233"/>
      <c r="I35" s="36" t="s">
        <v>40</v>
      </c>
      <c r="J35" s="37"/>
      <c r="K35" s="142" t="s">
        <v>1239</v>
      </c>
      <c r="L35" s="142" t="s">
        <v>1240</v>
      </c>
      <c r="M35" s="142"/>
      <c r="N35" s="142" t="s">
        <v>1241</v>
      </c>
      <c r="O35" s="142" t="s">
        <v>1242</v>
      </c>
      <c r="P35" s="243"/>
      <c r="Q35" s="244"/>
      <c r="R35" s="244"/>
      <c r="S35" s="244"/>
      <c r="T35" s="244"/>
      <c r="U35" s="244"/>
      <c r="V35" s="245"/>
      <c r="W35" s="38" t="s">
        <v>41</v>
      </c>
      <c r="X35" s="39"/>
      <c r="Y35" s="200">
        <v>6</v>
      </c>
      <c r="Z35" s="39" t="s">
        <v>31</v>
      </c>
      <c r="AA35" s="202">
        <v>9</v>
      </c>
    </row>
    <row r="36" spans="1:27" ht="17.100000000000001" customHeight="1" thickBot="1">
      <c r="A36" s="186"/>
      <c r="B36" s="196" t="s">
        <v>42</v>
      </c>
      <c r="C36" s="231"/>
      <c r="D36" s="231"/>
      <c r="E36" s="231"/>
      <c r="F36" s="231"/>
      <c r="G36" s="278"/>
      <c r="H36" s="234"/>
      <c r="I36" s="180" t="s">
        <v>43</v>
      </c>
      <c r="J36" s="181"/>
      <c r="K36" s="148" t="s">
        <v>1243</v>
      </c>
      <c r="L36" s="148" t="s">
        <v>1244</v>
      </c>
      <c r="M36" s="148" t="s">
        <v>1245</v>
      </c>
      <c r="N36" s="148" t="s">
        <v>1246</v>
      </c>
      <c r="O36" s="148" t="s">
        <v>1247</v>
      </c>
      <c r="P36" s="246"/>
      <c r="Q36" s="247"/>
      <c r="R36" s="247"/>
      <c r="S36" s="247"/>
      <c r="T36" s="247"/>
      <c r="U36" s="247"/>
      <c r="V36" s="248"/>
      <c r="W36" s="182" t="s">
        <v>44</v>
      </c>
      <c r="X36" s="183"/>
      <c r="Y36" s="220">
        <v>2316054</v>
      </c>
      <c r="Z36" s="220"/>
      <c r="AA36" s="221"/>
    </row>
    <row r="37" spans="1:27" ht="17.100000000000001" customHeight="1"/>
  </sheetData>
  <sheetProtection algorithmName="SHA-512" hashValue="58T07tr9pI9XuHmhytY4iw+YKTm7kKk10MTXy7clAU1bLJNjQGDBgu0ScOjd/7r+rZyJDHC2ty4Ug4zz1XdwAg==" saltValue="I5+8BmAJ9/6f/uO2ZtpyzQ==" spinCount="100000" sheet="1" scenarios="1" formatCells="0" formatColumns="0" formatRows="0"/>
  <mergeCells count="35">
    <mergeCell ref="B1:B3"/>
    <mergeCell ref="C1:C3"/>
    <mergeCell ref="D1:D3"/>
    <mergeCell ref="E1:E3"/>
    <mergeCell ref="F1:F3"/>
    <mergeCell ref="W4:AA4"/>
    <mergeCell ref="U5:AA5"/>
    <mergeCell ref="U1:X1"/>
    <mergeCell ref="Y1:AA1"/>
    <mergeCell ref="G2:L4"/>
    <mergeCell ref="U2:W2"/>
    <mergeCell ref="X2:AA2"/>
    <mergeCell ref="U3:X3"/>
    <mergeCell ref="Y3:AA3"/>
    <mergeCell ref="G1:L1"/>
    <mergeCell ref="B4:B5"/>
    <mergeCell ref="C4:C5"/>
    <mergeCell ref="D4:D5"/>
    <mergeCell ref="E4:E5"/>
    <mergeCell ref="F4:F5"/>
    <mergeCell ref="Y36:AA36"/>
    <mergeCell ref="U7:V7"/>
    <mergeCell ref="C32:C36"/>
    <mergeCell ref="D32:D36"/>
    <mergeCell ref="E32:E36"/>
    <mergeCell ref="F32:F36"/>
    <mergeCell ref="G32:G36"/>
    <mergeCell ref="H32:H36"/>
    <mergeCell ref="K32:O32"/>
    <mergeCell ref="P32:V36"/>
    <mergeCell ref="Y32:AA32"/>
    <mergeCell ref="L33:M33"/>
    <mergeCell ref="Y33:AA33"/>
    <mergeCell ref="L34:M34"/>
    <mergeCell ref="Y34:AA34"/>
  </mergeCells>
  <dataValidations count="3">
    <dataValidation type="decimal" showInputMessage="1" showErrorMessage="1" sqref="Q8:T31" xr:uid="{A317D99D-B5C4-427A-A9F5-68873A2FC21C}">
      <formula1>0</formula1>
      <formula2>9999999</formula2>
    </dataValidation>
    <dataValidation showInputMessage="1" showErrorMessage="1" sqref="M8:M31" xr:uid="{6F95CF75-C220-486C-B328-09B105D1AF7C}"/>
    <dataValidation type="decimal" operator="greaterThan" showInputMessage="1" showErrorMessage="1" sqref="V8:V31" xr:uid="{F80C5EA9-E9C2-412C-AFA5-6A202962387E}">
      <formula1>0</formula1>
    </dataValidation>
  </dataValidations>
  <printOptions horizontalCentered="1"/>
  <pageMargins left="0" right="0" top="0.25" bottom="0.25" header="0" footer="0"/>
  <pageSetup paperSize="8" scale="86"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Line="0" autoPict="0">
                <anchor moveWithCells="1" sizeWithCells="1">
                  <from>
                    <xdr:col>0</xdr:col>
                    <xdr:colOff>0</xdr:colOff>
                    <xdr:row>31</xdr:row>
                    <xdr:rowOff>57150</xdr:rowOff>
                  </from>
                  <to>
                    <xdr:col>0</xdr:col>
                    <xdr:colOff>0</xdr:colOff>
                    <xdr:row>36</xdr:row>
                    <xdr:rowOff>104775</xdr:rowOff>
                  </to>
                </anchor>
              </controlPr>
            </control>
          </mc:Choice>
        </mc:AlternateContent>
        <mc:AlternateContent xmlns:mc="http://schemas.openxmlformats.org/markup-compatibility/2006">
          <mc:Choice Requires="x14">
            <control shapeId="9218" r:id="rId5" name="Check Box 2">
              <controlPr locked="0" defaultSize="0" autoFill="0" autoLine="0" autoPict="0">
                <anchor moveWithCells="1">
                  <from>
                    <xdr:col>7</xdr:col>
                    <xdr:colOff>247650</xdr:colOff>
                    <xdr:row>0</xdr:row>
                    <xdr:rowOff>209550</xdr:rowOff>
                  </from>
                  <to>
                    <xdr:col>8</xdr:col>
                    <xdr:colOff>1619250</xdr:colOff>
                    <xdr:row>0</xdr:row>
                    <xdr:rowOff>342900</xdr:rowOff>
                  </to>
                </anchor>
              </controlPr>
            </control>
          </mc:Choice>
        </mc:AlternateContent>
        <mc:AlternateContent xmlns:mc="http://schemas.openxmlformats.org/markup-compatibility/2006">
          <mc:Choice Requires="x14">
            <control shapeId="9219" r:id="rId6" name="Check Box 3">
              <controlPr locked="0" defaultSize="0" autoFill="0" autoLine="0" autoPict="0">
                <anchor moveWithCells="1">
                  <from>
                    <xdr:col>7</xdr:col>
                    <xdr:colOff>247650</xdr:colOff>
                    <xdr:row>0</xdr:row>
                    <xdr:rowOff>361950</xdr:rowOff>
                  </from>
                  <to>
                    <xdr:col>8</xdr:col>
                    <xdr:colOff>1409700</xdr:colOff>
                    <xdr:row>1</xdr:row>
                    <xdr:rowOff>19050</xdr:rowOff>
                  </to>
                </anchor>
              </controlPr>
            </control>
          </mc:Choice>
        </mc:AlternateContent>
        <mc:AlternateContent xmlns:mc="http://schemas.openxmlformats.org/markup-compatibility/2006">
          <mc:Choice Requires="x14">
            <control shapeId="9220" r:id="rId7" name="Check Box 4">
              <controlPr locked="0" defaultSize="0" autoFill="0" autoLine="0" autoPict="0">
                <anchor moveWithCells="1">
                  <from>
                    <xdr:col>9</xdr:col>
                    <xdr:colOff>38100</xdr:colOff>
                    <xdr:row>0</xdr:row>
                    <xdr:rowOff>180975</xdr:rowOff>
                  </from>
                  <to>
                    <xdr:col>9</xdr:col>
                    <xdr:colOff>1200150</xdr:colOff>
                    <xdr:row>0</xdr:row>
                    <xdr:rowOff>361950</xdr:rowOff>
                  </to>
                </anchor>
              </controlPr>
            </control>
          </mc:Choice>
        </mc:AlternateContent>
        <mc:AlternateContent xmlns:mc="http://schemas.openxmlformats.org/markup-compatibility/2006">
          <mc:Choice Requires="x14">
            <control shapeId="9221" r:id="rId8" name="Check Box 5">
              <controlPr locked="0" defaultSize="0" autoFill="0" autoLine="0" autoPict="0">
                <anchor moveWithCells="1">
                  <from>
                    <xdr:col>9</xdr:col>
                    <xdr:colOff>38100</xdr:colOff>
                    <xdr:row>0</xdr:row>
                    <xdr:rowOff>361950</xdr:rowOff>
                  </from>
                  <to>
                    <xdr:col>9</xdr:col>
                    <xdr:colOff>1428750</xdr:colOff>
                    <xdr:row>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D1C94400-DC0A-4023-91F9-81BF28268AC1}">
          <x14:formula1>
            <xm:f>'Validation Lists'!$P$2:$P$62</xm:f>
          </x14:formula1>
          <xm:sqref>N8</xm:sqref>
        </x14:dataValidation>
        <x14:dataValidation type="list" operator="greaterThan" showDropDown="1" showInputMessage="1" showErrorMessage="1" xr:uid="{24564698-20C4-4ED0-B57A-D94470F5A09D}">
          <x14:formula1>
            <xm:f>'Validation Lists'!$E$2:$E$501</xm:f>
          </x14:formula1>
          <xm:sqref>W8:W31</xm:sqref>
        </x14:dataValidation>
        <x14:dataValidation type="list" showInputMessage="1" showErrorMessage="1" xr:uid="{47459FAC-E7D1-4C50-AD8C-8CE64163AA99}">
          <x14:formula1>
            <xm:f>'Validation Lists'!$G$2:$G$189</xm:f>
          </x14:formula1>
          <xm:sqref>U8:U31</xm:sqref>
        </x14:dataValidation>
        <x14:dataValidation type="list" showInputMessage="1" showErrorMessage="1" xr:uid="{2BD66B72-D60C-4FDC-A7CA-1073904F4712}">
          <x14:formula1>
            <xm:f>'Validation Lists'!$P$2:$P$35</xm:f>
          </x14:formula1>
          <xm:sqref>N9:N31</xm:sqref>
        </x14:dataValidation>
        <x14:dataValidation type="list" allowBlank="1" showInputMessage="1" showErrorMessage="1" xr:uid="{6C36B146-BD1B-487B-9AE6-B5DB919B72D3}">
          <x14:formula1>
            <xm:f>'Validation Lists'!$C$2:$C$6</xm:f>
          </x14:formula1>
          <xm:sqref>AA8:AA31</xm:sqref>
        </x14:dataValidation>
        <x14:dataValidation type="list" showInputMessage="1" showErrorMessage="1" xr:uid="{B226D41C-ED27-4C0F-BCB8-B1FE901FCE38}">
          <x14:formula1>
            <xm:f>'Validation Lists'!$J$3:$J$50</xm:f>
          </x14:formula1>
          <xm:sqref>Y8:Y31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5148B-D5F0-41B1-8A96-DEE10068B0A2}">
  <sheetPr codeName="Sheet8"/>
  <dimension ref="A1:AB37"/>
  <sheetViews>
    <sheetView showGridLines="0" tabSelected="1" view="pageBreakPreview" topLeftCell="A15" zoomScale="70" zoomScaleNormal="130" zoomScaleSheetLayoutView="70" workbookViewId="0">
      <selection activeCell="C27" sqref="C27"/>
    </sheetView>
  </sheetViews>
  <sheetFormatPr defaultRowHeight="12.75"/>
  <cols>
    <col min="1" max="1" width="1.7109375" customWidth="1"/>
    <col min="2" max="2" width="3.7109375" customWidth="1"/>
    <col min="3" max="7" width="2.7109375" customWidth="1"/>
    <col min="8" max="8" width="3.7109375" customWidth="1"/>
    <col min="9" max="9" width="25.7109375" customWidth="1"/>
    <col min="10" max="10" width="22" customWidth="1"/>
    <col min="11" max="11" width="8.7109375" customWidth="1"/>
    <col min="12" max="12" width="12.28515625" customWidth="1"/>
    <col min="13" max="13" width="8.7109375" customWidth="1"/>
    <col min="14" max="14" width="25.7109375" customWidth="1"/>
    <col min="15" max="15" width="16.28515625" customWidth="1"/>
    <col min="16" max="16" width="32.7109375" customWidth="1"/>
    <col min="17" max="19" width="3.7109375" customWidth="1"/>
    <col min="20" max="20" width="3.5703125" customWidth="1"/>
    <col min="21" max="21" width="4.5703125" customWidth="1"/>
    <col min="22" max="22" width="6.7109375" bestFit="1" customWidth="1"/>
    <col min="23" max="23" width="3.7109375" customWidth="1"/>
    <col min="24" max="24" width="4.7109375" customWidth="1"/>
    <col min="25" max="25" width="17.42578125" customWidth="1"/>
    <col min="26" max="26" width="12.7109375" customWidth="1"/>
    <col min="27" max="27" width="5.7109375" customWidth="1"/>
    <col min="28" max="28" width="10" hidden="1" customWidth="1"/>
  </cols>
  <sheetData>
    <row r="1" spans="1:28" ht="45.75" customHeight="1" thickBot="1">
      <c r="A1" s="184"/>
      <c r="B1" s="279" t="s">
        <v>493</v>
      </c>
      <c r="C1" s="252" t="s">
        <v>1385</v>
      </c>
      <c r="D1" s="252" t="s">
        <v>1386</v>
      </c>
      <c r="E1" s="252" t="s">
        <v>1387</v>
      </c>
      <c r="F1" s="252" t="s">
        <v>1388</v>
      </c>
      <c r="G1" s="260" t="s">
        <v>55</v>
      </c>
      <c r="H1" s="261"/>
      <c r="I1" s="261"/>
      <c r="J1" s="261"/>
      <c r="K1" s="261"/>
      <c r="L1" s="262"/>
      <c r="M1" s="156" t="s">
        <v>54</v>
      </c>
      <c r="N1" s="157"/>
      <c r="O1" s="158"/>
      <c r="P1" s="158"/>
      <c r="Q1" s="158"/>
      <c r="R1" s="158"/>
      <c r="S1" s="158"/>
      <c r="T1" s="159"/>
      <c r="U1" s="258" t="s">
        <v>53</v>
      </c>
      <c r="V1" s="259"/>
      <c r="W1" s="259"/>
      <c r="X1" s="259"/>
      <c r="Y1" s="263" t="s">
        <v>1227</v>
      </c>
      <c r="Z1" s="263"/>
      <c r="AA1" s="264"/>
    </row>
    <row r="2" spans="1:28" ht="15.6" customHeight="1" thickBot="1">
      <c r="A2" s="185">
        <v>1</v>
      </c>
      <c r="B2" s="281"/>
      <c r="C2" s="253"/>
      <c r="D2" s="253"/>
      <c r="E2" s="253"/>
      <c r="F2" s="253"/>
      <c r="G2" s="265" t="s">
        <v>734</v>
      </c>
      <c r="H2" s="266"/>
      <c r="I2" s="266"/>
      <c r="J2" s="266"/>
      <c r="K2" s="266"/>
      <c r="L2" s="267"/>
      <c r="M2" s="3" t="s">
        <v>0</v>
      </c>
      <c r="N2" s="117"/>
      <c r="O2" s="82" t="s">
        <v>47</v>
      </c>
      <c r="P2" s="82"/>
      <c r="Q2" s="4"/>
      <c r="R2" s="4"/>
      <c r="S2" s="4"/>
      <c r="T2" s="5"/>
      <c r="U2" s="256" t="s">
        <v>1</v>
      </c>
      <c r="V2" s="257"/>
      <c r="W2" s="257"/>
      <c r="X2" s="263" t="s">
        <v>1228</v>
      </c>
      <c r="Y2" s="263"/>
      <c r="Z2" s="263"/>
      <c r="AA2" s="264"/>
      <c r="AB2" s="62" t="b">
        <v>0</v>
      </c>
    </row>
    <row r="3" spans="1:28" ht="22.5" customHeight="1" thickBot="1">
      <c r="A3" s="186"/>
      <c r="B3" s="280"/>
      <c r="C3" s="253"/>
      <c r="D3" s="253"/>
      <c r="E3" s="253"/>
      <c r="F3" s="253"/>
      <c r="G3" s="268"/>
      <c r="H3" s="269"/>
      <c r="I3" s="269"/>
      <c r="J3" s="269"/>
      <c r="K3" s="269"/>
      <c r="L3" s="270"/>
      <c r="M3" s="7" t="s">
        <v>2</v>
      </c>
      <c r="N3" s="118"/>
      <c r="O3" s="118"/>
      <c r="P3" s="118"/>
      <c r="Q3" s="118"/>
      <c r="R3" s="118"/>
      <c r="S3" s="118"/>
      <c r="T3" s="119"/>
      <c r="U3" s="254" t="s">
        <v>3</v>
      </c>
      <c r="V3" s="255"/>
      <c r="W3" s="255"/>
      <c r="X3" s="255"/>
      <c r="Y3" s="263" t="s">
        <v>1217</v>
      </c>
      <c r="Z3" s="263"/>
      <c r="AA3" s="264"/>
      <c r="AB3" s="62" t="b">
        <v>1</v>
      </c>
    </row>
    <row r="4" spans="1:28" ht="41.65" customHeight="1" thickBot="1">
      <c r="A4" s="184"/>
      <c r="B4" s="279" t="s">
        <v>494</v>
      </c>
      <c r="C4" s="253" t="s">
        <v>1359</v>
      </c>
      <c r="D4" s="253" t="s">
        <v>1333</v>
      </c>
      <c r="E4" s="253" t="s">
        <v>1249</v>
      </c>
      <c r="F4" s="253" t="s">
        <v>1360</v>
      </c>
      <c r="G4" s="271"/>
      <c r="H4" s="272"/>
      <c r="I4" s="272"/>
      <c r="J4" s="272"/>
      <c r="K4" s="272"/>
      <c r="L4" s="273"/>
      <c r="M4" s="9" t="s">
        <v>4</v>
      </c>
      <c r="N4" s="120"/>
      <c r="O4" s="120"/>
      <c r="P4" s="120"/>
      <c r="Q4" s="120"/>
      <c r="R4" s="120"/>
      <c r="S4" s="120"/>
      <c r="T4" s="121"/>
      <c r="U4" s="143" t="s">
        <v>5</v>
      </c>
      <c r="V4" s="124"/>
      <c r="W4" s="263" t="s">
        <v>1217</v>
      </c>
      <c r="X4" s="263"/>
      <c r="Y4" s="263"/>
      <c r="Z4" s="263"/>
      <c r="AA4" s="264"/>
      <c r="AB4" s="62" t="b">
        <v>0</v>
      </c>
    </row>
    <row r="5" spans="1:28" ht="27" customHeight="1" thickBot="1">
      <c r="A5" s="187">
        <v>2</v>
      </c>
      <c r="B5" s="280"/>
      <c r="C5" s="253"/>
      <c r="D5" s="253"/>
      <c r="E5" s="253"/>
      <c r="F5" s="253"/>
      <c r="G5" s="11"/>
      <c r="H5" s="12" t="s">
        <v>6</v>
      </c>
      <c r="I5" s="13" t="s">
        <v>7</v>
      </c>
      <c r="J5" s="14"/>
      <c r="K5" s="14"/>
      <c r="L5" s="14"/>
      <c r="M5" s="14"/>
      <c r="N5" s="14"/>
      <c r="O5" s="15"/>
      <c r="P5" s="85"/>
      <c r="Q5" s="16" t="s">
        <v>8</v>
      </c>
      <c r="R5" s="17"/>
      <c r="S5" s="18" t="s">
        <v>9</v>
      </c>
      <c r="T5" s="19"/>
      <c r="U5" s="235" t="s">
        <v>50</v>
      </c>
      <c r="V5" s="236"/>
      <c r="W5" s="236"/>
      <c r="X5" s="236"/>
      <c r="Y5" s="236"/>
      <c r="Z5" s="236"/>
      <c r="AA5" s="237"/>
      <c r="AB5" s="62" t="b">
        <v>0</v>
      </c>
    </row>
    <row r="6" spans="1:28" ht="43.15" customHeight="1" thickBot="1">
      <c r="A6" s="188">
        <v>3</v>
      </c>
      <c r="B6" s="83" t="s">
        <v>10</v>
      </c>
      <c r="C6" s="135" t="s">
        <v>1361</v>
      </c>
      <c r="D6" s="135" t="s">
        <v>1362</v>
      </c>
      <c r="E6" s="135" t="s">
        <v>1363</v>
      </c>
      <c r="F6" s="135" t="s">
        <v>1364</v>
      </c>
      <c r="G6" s="21" t="s">
        <v>11</v>
      </c>
      <c r="H6" s="123" t="s">
        <v>12</v>
      </c>
      <c r="I6" s="45" t="s">
        <v>13</v>
      </c>
      <c r="J6" s="22" t="s">
        <v>14</v>
      </c>
      <c r="K6" s="76" t="s">
        <v>15</v>
      </c>
      <c r="L6" s="75" t="s">
        <v>16</v>
      </c>
      <c r="M6" s="77" t="s">
        <v>732</v>
      </c>
      <c r="N6" s="77" t="s">
        <v>733</v>
      </c>
      <c r="O6" s="75" t="s">
        <v>838</v>
      </c>
      <c r="P6" s="75" t="s">
        <v>839</v>
      </c>
      <c r="Q6" s="78" t="s">
        <v>17</v>
      </c>
      <c r="R6" s="79" t="s">
        <v>18</v>
      </c>
      <c r="S6" s="78" t="s">
        <v>17</v>
      </c>
      <c r="T6" s="79" t="s">
        <v>19</v>
      </c>
      <c r="U6" s="80" t="s">
        <v>841</v>
      </c>
      <c r="V6" s="80" t="s">
        <v>840</v>
      </c>
      <c r="W6" s="80" t="s">
        <v>20</v>
      </c>
      <c r="X6" s="81" t="s">
        <v>52</v>
      </c>
      <c r="Y6" s="80" t="s">
        <v>21</v>
      </c>
      <c r="Z6" s="23" t="s">
        <v>45</v>
      </c>
      <c r="AA6" s="161" t="s">
        <v>46</v>
      </c>
    </row>
    <row r="7" spans="1:28" ht="13.15" customHeight="1" thickBot="1">
      <c r="A7" s="189">
        <v>4</v>
      </c>
      <c r="B7" s="84" t="s">
        <v>22</v>
      </c>
      <c r="C7" s="137">
        <v>2</v>
      </c>
      <c r="D7" s="137">
        <v>2</v>
      </c>
      <c r="E7" s="137">
        <v>2</v>
      </c>
      <c r="F7" s="137">
        <v>2</v>
      </c>
      <c r="G7" s="24"/>
      <c r="H7" s="44">
        <v>7</v>
      </c>
      <c r="I7" s="44">
        <v>8</v>
      </c>
      <c r="J7" s="25">
        <v>9</v>
      </c>
      <c r="K7" s="44" t="s">
        <v>23</v>
      </c>
      <c r="L7" s="25" t="s">
        <v>24</v>
      </c>
      <c r="M7" s="44" t="s">
        <v>730</v>
      </c>
      <c r="N7" s="44" t="s">
        <v>731</v>
      </c>
      <c r="O7" s="44" t="s">
        <v>836</v>
      </c>
      <c r="P7" s="98" t="s">
        <v>837</v>
      </c>
      <c r="Q7" s="44">
        <v>13</v>
      </c>
      <c r="R7" s="26">
        <v>14</v>
      </c>
      <c r="S7" s="44">
        <v>15</v>
      </c>
      <c r="T7" s="26">
        <v>16</v>
      </c>
      <c r="U7" s="238">
        <v>17</v>
      </c>
      <c r="V7" s="239"/>
      <c r="W7" s="44">
        <v>18</v>
      </c>
      <c r="X7" s="26">
        <v>19</v>
      </c>
      <c r="Y7" s="44">
        <v>20</v>
      </c>
      <c r="Z7" s="26">
        <v>21</v>
      </c>
      <c r="AA7" s="163">
        <v>22</v>
      </c>
    </row>
    <row r="8" spans="1:28" ht="37.9" customHeight="1" thickBot="1">
      <c r="A8" s="190"/>
      <c r="B8" s="63"/>
      <c r="C8" s="110">
        <v>0</v>
      </c>
      <c r="D8" s="110">
        <v>0</v>
      </c>
      <c r="E8" s="110">
        <v>0</v>
      </c>
      <c r="F8" s="110">
        <v>1</v>
      </c>
      <c r="G8" s="41">
        <v>1</v>
      </c>
      <c r="H8" s="110" cm="1">
        <f t="array" ref="H8">IFERROR(SUM($C$7:$F$7*C8:F8),"")</f>
        <v>2</v>
      </c>
      <c r="I8" s="139" t="s">
        <v>1254</v>
      </c>
      <c r="J8" s="110" t="s">
        <v>1365</v>
      </c>
      <c r="K8" s="110" t="s">
        <v>1261</v>
      </c>
      <c r="L8" s="110" t="s">
        <v>1262</v>
      </c>
      <c r="M8" s="110" t="s">
        <v>1263</v>
      </c>
      <c r="N8" s="110" t="s">
        <v>823</v>
      </c>
      <c r="O8" s="110" t="s">
        <v>1217</v>
      </c>
      <c r="P8" s="110"/>
      <c r="Q8" s="110">
        <v>1</v>
      </c>
      <c r="R8" s="141"/>
      <c r="S8" s="110">
        <v>0</v>
      </c>
      <c r="T8" s="113"/>
      <c r="U8" s="110" t="s">
        <v>1106</v>
      </c>
      <c r="V8" s="207">
        <v>13474.04498470842</v>
      </c>
      <c r="W8" s="110">
        <v>22</v>
      </c>
      <c r="X8" s="113"/>
      <c r="Y8" s="110" t="s">
        <v>894</v>
      </c>
      <c r="Z8" s="213">
        <v>80012204</v>
      </c>
      <c r="AA8" s="197" t="s">
        <v>932</v>
      </c>
    </row>
    <row r="9" spans="1:28" ht="33.75" thickBot="1">
      <c r="A9" s="192"/>
      <c r="B9" s="64"/>
      <c r="C9" s="110">
        <v>0</v>
      </c>
      <c r="D9" s="110">
        <v>0</v>
      </c>
      <c r="E9" s="110">
        <v>0</v>
      </c>
      <c r="F9" s="110">
        <v>1</v>
      </c>
      <c r="G9" s="41">
        <v>2</v>
      </c>
      <c r="H9" s="110" cm="1">
        <f t="array" ref="H9">IFERROR(SUM($C$7:$F$7*C9:F9),"")</f>
        <v>2</v>
      </c>
      <c r="I9" s="139" t="s">
        <v>1205</v>
      </c>
      <c r="J9" s="110" t="s">
        <v>1365</v>
      </c>
      <c r="K9" s="110" t="s">
        <v>1366</v>
      </c>
      <c r="L9" s="110" t="s">
        <v>1218</v>
      </c>
      <c r="M9" s="110" t="s">
        <v>1219</v>
      </c>
      <c r="N9" s="110" t="s">
        <v>804</v>
      </c>
      <c r="O9" s="110" t="s">
        <v>1217</v>
      </c>
      <c r="P9" s="110"/>
      <c r="Q9" s="110">
        <v>1</v>
      </c>
      <c r="R9" s="141"/>
      <c r="S9" s="110">
        <v>0</v>
      </c>
      <c r="T9" s="114"/>
      <c r="U9" s="110" t="s">
        <v>1106</v>
      </c>
      <c r="V9" s="207">
        <v>42341.719583165301</v>
      </c>
      <c r="W9" s="110">
        <v>22</v>
      </c>
      <c r="X9" s="114"/>
      <c r="Y9" s="110" t="s">
        <v>894</v>
      </c>
      <c r="Z9" s="212">
        <v>80012200</v>
      </c>
      <c r="AA9" s="197" t="s">
        <v>932</v>
      </c>
    </row>
    <row r="10" spans="1:28" ht="33.75" thickBot="1">
      <c r="A10" s="192"/>
      <c r="B10" s="65"/>
      <c r="C10" s="110">
        <v>0</v>
      </c>
      <c r="D10" s="110">
        <v>1</v>
      </c>
      <c r="E10" s="110">
        <v>0</v>
      </c>
      <c r="F10" s="110">
        <v>0</v>
      </c>
      <c r="G10" s="41">
        <v>3</v>
      </c>
      <c r="H10" s="110" cm="1">
        <f t="array" ref="H10">IFERROR(SUM($C$7:$F$7*C10:F10),"")</f>
        <v>2</v>
      </c>
      <c r="I10" s="139" t="s">
        <v>1205</v>
      </c>
      <c r="J10" s="110" t="s">
        <v>1367</v>
      </c>
      <c r="K10" s="110" t="s">
        <v>1339</v>
      </c>
      <c r="L10" s="110" t="s">
        <v>1218</v>
      </c>
      <c r="M10" s="110" t="s">
        <v>1219</v>
      </c>
      <c r="N10" s="110" t="s">
        <v>804</v>
      </c>
      <c r="O10" s="110" t="s">
        <v>1217</v>
      </c>
      <c r="P10" s="110"/>
      <c r="Q10" s="110">
        <v>1</v>
      </c>
      <c r="R10" s="141"/>
      <c r="S10" s="110">
        <v>0</v>
      </c>
      <c r="T10" s="114"/>
      <c r="U10" s="110" t="s">
        <v>1106</v>
      </c>
      <c r="V10" s="207">
        <v>35975.726819438707</v>
      </c>
      <c r="W10" s="110">
        <v>22</v>
      </c>
      <c r="X10" s="114"/>
      <c r="Y10" s="110" t="s">
        <v>894</v>
      </c>
      <c r="Z10" s="213">
        <v>80012201</v>
      </c>
      <c r="AA10" s="197" t="s">
        <v>932</v>
      </c>
    </row>
    <row r="11" spans="1:28" ht="33.75" thickBot="1">
      <c r="A11" s="192"/>
      <c r="B11" s="65"/>
      <c r="C11" s="110">
        <v>1</v>
      </c>
      <c r="D11" s="110">
        <v>0</v>
      </c>
      <c r="E11" s="110">
        <v>1</v>
      </c>
      <c r="F11" s="110">
        <v>0</v>
      </c>
      <c r="G11" s="41">
        <v>4</v>
      </c>
      <c r="H11" s="110">
        <v>4</v>
      </c>
      <c r="I11" s="139" t="s">
        <v>1205</v>
      </c>
      <c r="J11" s="110" t="s">
        <v>1380</v>
      </c>
      <c r="K11" s="110" t="s">
        <v>1265</v>
      </c>
      <c r="L11" s="110" t="s">
        <v>1218</v>
      </c>
      <c r="M11" s="110" t="s">
        <v>1219</v>
      </c>
      <c r="N11" s="110" t="s">
        <v>804</v>
      </c>
      <c r="O11" s="110" t="s">
        <v>1217</v>
      </c>
      <c r="P11" s="62"/>
      <c r="Q11" s="110">
        <v>2</v>
      </c>
      <c r="R11" s="141"/>
      <c r="S11" s="110">
        <v>0</v>
      </c>
      <c r="T11" s="115"/>
      <c r="U11" s="110" t="s">
        <v>1106</v>
      </c>
      <c r="V11" s="207">
        <v>42796.412636008805</v>
      </c>
      <c r="W11" s="110">
        <v>22</v>
      </c>
      <c r="X11" s="115"/>
      <c r="Y11" s="110" t="s">
        <v>894</v>
      </c>
      <c r="Z11" s="213">
        <v>80012202</v>
      </c>
      <c r="AA11" s="197" t="s">
        <v>932</v>
      </c>
    </row>
    <row r="12" spans="1:28" ht="33.75" thickBot="1">
      <c r="A12" s="192"/>
      <c r="B12" s="65"/>
      <c r="C12" s="110">
        <v>2</v>
      </c>
      <c r="D12" s="110">
        <v>2</v>
      </c>
      <c r="E12" s="110">
        <v>2</v>
      </c>
      <c r="F12" s="110">
        <v>2</v>
      </c>
      <c r="G12" s="56">
        <v>5</v>
      </c>
      <c r="H12" s="110" cm="1">
        <f t="array" ref="H12">IFERROR(SUM($C$7:$F$7*C12:F12),"")</f>
        <v>16</v>
      </c>
      <c r="I12" s="139" t="s">
        <v>1381</v>
      </c>
      <c r="J12" s="110" t="s">
        <v>1372</v>
      </c>
      <c r="K12" s="110">
        <v>17733615312</v>
      </c>
      <c r="L12" s="110" t="s">
        <v>1267</v>
      </c>
      <c r="M12" s="110" t="s">
        <v>1220</v>
      </c>
      <c r="N12" s="110" t="s">
        <v>825</v>
      </c>
      <c r="O12" s="110" t="s">
        <v>1217</v>
      </c>
      <c r="P12" s="110"/>
      <c r="Q12" s="110">
        <v>8</v>
      </c>
      <c r="R12" s="141"/>
      <c r="S12" s="110">
        <v>0</v>
      </c>
      <c r="T12" s="115"/>
      <c r="U12" s="110" t="s">
        <v>1106</v>
      </c>
      <c r="V12" s="207">
        <v>2511.0626288293192</v>
      </c>
      <c r="W12" s="110"/>
      <c r="X12" s="115"/>
      <c r="Y12" s="110" t="s">
        <v>894</v>
      </c>
      <c r="Z12" s="213">
        <v>10049151</v>
      </c>
      <c r="AA12" s="197" t="s">
        <v>932</v>
      </c>
    </row>
    <row r="13" spans="1:28" ht="33.75" thickBot="1">
      <c r="A13" s="192"/>
      <c r="B13" s="65"/>
      <c r="C13" s="110">
        <v>0</v>
      </c>
      <c r="D13" s="110">
        <v>0</v>
      </c>
      <c r="E13" s="110">
        <v>0</v>
      </c>
      <c r="F13" s="110">
        <v>3</v>
      </c>
      <c r="G13" s="41">
        <v>6</v>
      </c>
      <c r="H13" s="110" cm="1">
        <f t="array" ref="H13">IFERROR(SUM($C$7:$F$7*C13:F13),"")</f>
        <v>6</v>
      </c>
      <c r="I13" s="139" t="s">
        <v>1255</v>
      </c>
      <c r="J13" s="110" t="s">
        <v>1365</v>
      </c>
      <c r="K13" s="110" t="s">
        <v>1268</v>
      </c>
      <c r="L13" s="110" t="s">
        <v>1269</v>
      </c>
      <c r="M13" s="110" t="s">
        <v>1270</v>
      </c>
      <c r="N13" s="110" t="s">
        <v>825</v>
      </c>
      <c r="O13" s="110" t="s">
        <v>1217</v>
      </c>
      <c r="P13" s="110"/>
      <c r="Q13" s="110">
        <v>6</v>
      </c>
      <c r="R13" s="141"/>
      <c r="S13" s="110">
        <v>0</v>
      </c>
      <c r="T13" s="113"/>
      <c r="U13" s="110" t="s">
        <v>1106</v>
      </c>
      <c r="V13" s="207">
        <v>39.763838354383715</v>
      </c>
      <c r="W13" s="110">
        <v>16</v>
      </c>
      <c r="X13" s="113"/>
      <c r="Y13" s="110" t="s">
        <v>894</v>
      </c>
      <c r="Z13" s="213">
        <v>10632274</v>
      </c>
      <c r="AA13" s="197" t="s">
        <v>932</v>
      </c>
    </row>
    <row r="14" spans="1:28" ht="33.75" thickBot="1">
      <c r="A14" s="192"/>
      <c r="B14" s="65"/>
      <c r="C14" s="110">
        <v>0</v>
      </c>
      <c r="D14" s="110">
        <v>0</v>
      </c>
      <c r="E14" s="110">
        <v>0</v>
      </c>
      <c r="F14" s="110">
        <v>1</v>
      </c>
      <c r="G14" s="41">
        <v>7</v>
      </c>
      <c r="H14" s="110" cm="1">
        <f t="array" ref="H14">IFERROR(SUM($C$7:$F$7*C14:F14),"")</f>
        <v>2</v>
      </c>
      <c r="I14" s="139" t="s">
        <v>1255</v>
      </c>
      <c r="J14" s="110" t="s">
        <v>1365</v>
      </c>
      <c r="K14" s="110" t="s">
        <v>1268</v>
      </c>
      <c r="L14" s="110" t="s">
        <v>1271</v>
      </c>
      <c r="M14" s="110" t="s">
        <v>1270</v>
      </c>
      <c r="N14" s="110" t="s">
        <v>825</v>
      </c>
      <c r="O14" s="110" t="s">
        <v>1217</v>
      </c>
      <c r="P14" s="110"/>
      <c r="Q14" s="110">
        <v>2</v>
      </c>
      <c r="R14" s="141"/>
      <c r="S14" s="110">
        <v>0</v>
      </c>
      <c r="T14" s="114"/>
      <c r="U14" s="110" t="s">
        <v>1106</v>
      </c>
      <c r="V14" s="207">
        <v>39.763838354383715</v>
      </c>
      <c r="W14" s="110">
        <v>12</v>
      </c>
      <c r="X14" s="114"/>
      <c r="Y14" s="110" t="s">
        <v>894</v>
      </c>
      <c r="Z14" s="213">
        <v>10632274</v>
      </c>
      <c r="AA14" s="197" t="s">
        <v>932</v>
      </c>
    </row>
    <row r="15" spans="1:28" ht="33.75" thickBot="1">
      <c r="A15" s="192"/>
      <c r="B15" s="66" t="s">
        <v>6</v>
      </c>
      <c r="C15" s="110">
        <v>0</v>
      </c>
      <c r="D15" s="110">
        <v>0</v>
      </c>
      <c r="E15" s="110">
        <v>0</v>
      </c>
      <c r="F15" s="110">
        <v>1</v>
      </c>
      <c r="G15" s="41">
        <v>8</v>
      </c>
      <c r="H15" s="110" cm="1">
        <f t="array" ref="H15">IFERROR(SUM($C$7:$F$7*C15:F15),"")</f>
        <v>2</v>
      </c>
      <c r="I15" s="139" t="s">
        <v>1255</v>
      </c>
      <c r="J15" s="110" t="s">
        <v>1365</v>
      </c>
      <c r="K15" s="110" t="s">
        <v>1272</v>
      </c>
      <c r="L15" s="110" t="s">
        <v>1273</v>
      </c>
      <c r="M15" s="110" t="s">
        <v>1270</v>
      </c>
      <c r="N15" s="110" t="s">
        <v>825</v>
      </c>
      <c r="O15" s="110" t="s">
        <v>1217</v>
      </c>
      <c r="P15" s="110"/>
      <c r="Q15" s="110">
        <v>2</v>
      </c>
      <c r="R15" s="141"/>
      <c r="S15" s="110">
        <v>0</v>
      </c>
      <c r="T15" s="114"/>
      <c r="U15" s="110" t="s">
        <v>1106</v>
      </c>
      <c r="V15" s="207">
        <v>396.7670643767093</v>
      </c>
      <c r="W15" s="110">
        <v>12</v>
      </c>
      <c r="X15" s="114"/>
      <c r="Y15" s="110" t="s">
        <v>894</v>
      </c>
      <c r="Z15" s="213">
        <v>10632276</v>
      </c>
      <c r="AA15" s="197" t="s">
        <v>932</v>
      </c>
    </row>
    <row r="16" spans="1:28" ht="33.75" thickBot="1">
      <c r="A16" s="192"/>
      <c r="B16" s="67" t="s">
        <v>6</v>
      </c>
      <c r="C16" s="110">
        <v>0</v>
      </c>
      <c r="D16" s="110">
        <v>0</v>
      </c>
      <c r="E16" s="110">
        <v>0</v>
      </c>
      <c r="F16" s="110">
        <v>1</v>
      </c>
      <c r="G16" s="41">
        <v>9</v>
      </c>
      <c r="H16" s="110" cm="1">
        <f t="array" ref="H16">IFERROR(SUM($C$7:$F$7*C16:F16),"")</f>
        <v>2</v>
      </c>
      <c r="I16" s="139" t="s">
        <v>1255</v>
      </c>
      <c r="J16" s="110" t="s">
        <v>1365</v>
      </c>
      <c r="K16" s="110" t="s">
        <v>1274</v>
      </c>
      <c r="L16" s="110" t="s">
        <v>1275</v>
      </c>
      <c r="M16" s="110" t="s">
        <v>1270</v>
      </c>
      <c r="N16" s="110" t="s">
        <v>825</v>
      </c>
      <c r="O16" s="110" t="s">
        <v>1217</v>
      </c>
      <c r="P16" s="110"/>
      <c r="Q16" s="110">
        <v>2</v>
      </c>
      <c r="R16" s="141"/>
      <c r="S16" s="110">
        <v>0</v>
      </c>
      <c r="T16" s="114"/>
      <c r="U16" s="110" t="s">
        <v>1106</v>
      </c>
      <c r="V16" s="207">
        <v>289.43638515322334</v>
      </c>
      <c r="W16" s="110">
        <v>12</v>
      </c>
      <c r="X16" s="114"/>
      <c r="Y16" s="110" t="s">
        <v>894</v>
      </c>
      <c r="Z16" s="213">
        <v>10632275</v>
      </c>
      <c r="AA16" s="197" t="s">
        <v>932</v>
      </c>
    </row>
    <row r="17" spans="1:27" ht="33.75" thickBot="1">
      <c r="A17" s="192"/>
      <c r="B17" s="65"/>
      <c r="C17" s="110">
        <v>0</v>
      </c>
      <c r="D17" s="110">
        <v>0</v>
      </c>
      <c r="E17" s="110">
        <v>0</v>
      </c>
      <c r="F17" s="110">
        <v>1</v>
      </c>
      <c r="G17" s="56">
        <v>10</v>
      </c>
      <c r="H17" s="110" cm="1">
        <f t="array" ref="H17">IFERROR(SUM($C$7:$F$7*C17:F17),"")</f>
        <v>2</v>
      </c>
      <c r="I17" s="139" t="s">
        <v>1255</v>
      </c>
      <c r="J17" s="110" t="s">
        <v>1365</v>
      </c>
      <c r="K17" s="110" t="s">
        <v>1276</v>
      </c>
      <c r="L17" s="110" t="s">
        <v>1277</v>
      </c>
      <c r="M17" s="110" t="s">
        <v>1221</v>
      </c>
      <c r="N17" s="110" t="s">
        <v>825</v>
      </c>
      <c r="O17" s="110" t="s">
        <v>1217</v>
      </c>
      <c r="P17" s="110"/>
      <c r="Q17" s="110">
        <v>2</v>
      </c>
      <c r="R17" s="141"/>
      <c r="S17" s="110">
        <v>0</v>
      </c>
      <c r="T17" s="115"/>
      <c r="U17" s="110" t="s">
        <v>1106</v>
      </c>
      <c r="V17" s="207">
        <v>112.05692561487682</v>
      </c>
      <c r="W17" s="110">
        <v>12</v>
      </c>
      <c r="X17" s="115"/>
      <c r="Y17" s="110" t="s">
        <v>894</v>
      </c>
      <c r="Z17" s="213">
        <v>10632277</v>
      </c>
      <c r="AA17" s="197" t="s">
        <v>932</v>
      </c>
    </row>
    <row r="18" spans="1:27" ht="33.75" thickBot="1">
      <c r="A18" s="193">
        <v>5</v>
      </c>
      <c r="B18" s="68" t="s">
        <v>25</v>
      </c>
      <c r="C18" s="110">
        <v>0</v>
      </c>
      <c r="D18" s="110">
        <v>0</v>
      </c>
      <c r="E18" s="110">
        <v>0</v>
      </c>
      <c r="F18" s="110">
        <v>1</v>
      </c>
      <c r="G18" s="41">
        <v>11</v>
      </c>
      <c r="H18" s="110" cm="1">
        <f t="array" ref="H18">IFERROR(SUM($C$7:$F$7*C18:F18),"")</f>
        <v>2</v>
      </c>
      <c r="I18" s="139" t="s">
        <v>1256</v>
      </c>
      <c r="J18" s="110" t="s">
        <v>1365</v>
      </c>
      <c r="K18" s="110" t="s">
        <v>1278</v>
      </c>
      <c r="L18" s="110" t="s">
        <v>1279</v>
      </c>
      <c r="M18" s="110" t="s">
        <v>1280</v>
      </c>
      <c r="N18" s="110" t="s">
        <v>825</v>
      </c>
      <c r="O18" s="110" t="s">
        <v>1217</v>
      </c>
      <c r="P18" s="110"/>
      <c r="Q18" s="110">
        <v>2</v>
      </c>
      <c r="R18" s="141"/>
      <c r="S18" s="110">
        <v>0</v>
      </c>
      <c r="T18" s="113"/>
      <c r="U18" s="110" t="s">
        <v>1106</v>
      </c>
      <c r="V18" s="207">
        <v>193.74969843590151</v>
      </c>
      <c r="W18" s="110">
        <v>12</v>
      </c>
      <c r="X18" s="113"/>
      <c r="Y18" s="110" t="s">
        <v>894</v>
      </c>
      <c r="Z18" s="213">
        <v>10632285</v>
      </c>
      <c r="AA18" s="197" t="s">
        <v>932</v>
      </c>
    </row>
    <row r="19" spans="1:27" ht="33.75" thickBot="1">
      <c r="A19" s="192"/>
      <c r="B19" s="69" t="s">
        <v>26</v>
      </c>
      <c r="C19" s="110">
        <v>0</v>
      </c>
      <c r="D19" s="110">
        <v>0</v>
      </c>
      <c r="E19" s="110">
        <v>0</v>
      </c>
      <c r="F19" s="110">
        <v>1</v>
      </c>
      <c r="G19" s="41">
        <v>12</v>
      </c>
      <c r="H19" s="110" cm="1">
        <f t="array" ref="H19">IFERROR(SUM($C$7:$F$7*C19:F19),"")</f>
        <v>2</v>
      </c>
      <c r="I19" s="139" t="s">
        <v>1256</v>
      </c>
      <c r="J19" s="110" t="s">
        <v>1365</v>
      </c>
      <c r="K19" s="110" t="s">
        <v>1281</v>
      </c>
      <c r="L19" s="110" t="s">
        <v>1282</v>
      </c>
      <c r="M19" s="110" t="s">
        <v>1280</v>
      </c>
      <c r="N19" s="110" t="s">
        <v>825</v>
      </c>
      <c r="O19" s="110" t="s">
        <v>1217</v>
      </c>
      <c r="P19" s="110"/>
      <c r="Q19" s="110">
        <v>2</v>
      </c>
      <c r="R19" s="141"/>
      <c r="S19" s="110">
        <v>0</v>
      </c>
      <c r="T19" s="114"/>
      <c r="U19" s="110" t="s">
        <v>1106</v>
      </c>
      <c r="V19" s="207">
        <v>329.56987406335827</v>
      </c>
      <c r="W19" s="110">
        <v>12</v>
      </c>
      <c r="X19" s="114"/>
      <c r="Y19" s="110" t="s">
        <v>894</v>
      </c>
      <c r="Z19" s="213">
        <v>10632286</v>
      </c>
      <c r="AA19" s="197" t="s">
        <v>932</v>
      </c>
    </row>
    <row r="20" spans="1:27" ht="33.75" thickBot="1">
      <c r="A20" s="192"/>
      <c r="B20" s="68" t="s">
        <v>27</v>
      </c>
      <c r="C20" s="110">
        <v>1</v>
      </c>
      <c r="D20" s="110">
        <v>1</v>
      </c>
      <c r="E20" s="110">
        <v>1</v>
      </c>
      <c r="F20" s="110">
        <v>1</v>
      </c>
      <c r="G20" s="41">
        <v>13</v>
      </c>
      <c r="H20" s="110" cm="1">
        <f t="array" ref="H20">IFERROR(SUM($C$7:$F$7*C20:F20),"")</f>
        <v>8</v>
      </c>
      <c r="I20" s="139" t="s">
        <v>1206</v>
      </c>
      <c r="J20" s="110" t="s">
        <v>1372</v>
      </c>
      <c r="K20" s="208" t="s">
        <v>1283</v>
      </c>
      <c r="L20" s="110" t="s">
        <v>1284</v>
      </c>
      <c r="M20" s="110" t="s">
        <v>1221</v>
      </c>
      <c r="N20" s="110" t="s">
        <v>825</v>
      </c>
      <c r="O20" s="110" t="s">
        <v>1217</v>
      </c>
      <c r="P20" s="110"/>
      <c r="Q20" s="110">
        <v>4</v>
      </c>
      <c r="R20" s="141"/>
      <c r="S20" s="110">
        <v>0</v>
      </c>
      <c r="T20" s="114"/>
      <c r="U20" s="110" t="s">
        <v>1106</v>
      </c>
      <c r="V20" s="207">
        <v>2976.0830279643828</v>
      </c>
      <c r="W20" s="110">
        <v>18</v>
      </c>
      <c r="X20" s="114"/>
      <c r="Y20" s="110" t="s">
        <v>894</v>
      </c>
      <c r="Z20" s="213">
        <v>10632269</v>
      </c>
      <c r="AA20" s="197" t="s">
        <v>932</v>
      </c>
    </row>
    <row r="21" spans="1:27" ht="33.75" thickBot="1">
      <c r="A21" s="192"/>
      <c r="B21" s="69" t="s">
        <v>28</v>
      </c>
      <c r="C21" s="110">
        <v>0</v>
      </c>
      <c r="D21" s="110">
        <v>0</v>
      </c>
      <c r="E21" s="110">
        <v>0</v>
      </c>
      <c r="F21" s="110">
        <v>1</v>
      </c>
      <c r="G21" s="41">
        <v>14</v>
      </c>
      <c r="H21" s="110" cm="1">
        <f t="array" ref="H21">IFERROR(SUM($C$7:$F$7*C21:F21),"")</f>
        <v>2</v>
      </c>
      <c r="I21" s="139" t="s">
        <v>1207</v>
      </c>
      <c r="J21" s="110" t="s">
        <v>1365</v>
      </c>
      <c r="K21" s="110" t="s">
        <v>1285</v>
      </c>
      <c r="L21" s="110" t="s">
        <v>1286</v>
      </c>
      <c r="M21" s="110" t="s">
        <v>1263</v>
      </c>
      <c r="N21" s="110" t="s">
        <v>825</v>
      </c>
      <c r="O21" s="110" t="s">
        <v>1217</v>
      </c>
      <c r="P21" s="110"/>
      <c r="Q21" s="110">
        <v>1</v>
      </c>
      <c r="R21" s="141"/>
      <c r="S21" s="110">
        <v>0</v>
      </c>
      <c r="T21" s="114"/>
      <c r="U21" s="110" t="s">
        <v>1106</v>
      </c>
      <c r="V21" s="207">
        <v>2552.8009167494897</v>
      </c>
      <c r="W21" s="110">
        <v>16</v>
      </c>
      <c r="X21" s="114"/>
      <c r="Y21" s="110" t="s">
        <v>894</v>
      </c>
      <c r="Z21" s="213">
        <v>10632289</v>
      </c>
      <c r="AA21" s="197" t="s">
        <v>932</v>
      </c>
    </row>
    <row r="22" spans="1:27" ht="33.75" thickBot="1">
      <c r="A22" s="192"/>
      <c r="B22" s="68" t="s">
        <v>29</v>
      </c>
      <c r="C22" s="110">
        <v>0</v>
      </c>
      <c r="D22" s="110">
        <v>0</v>
      </c>
      <c r="E22" s="110">
        <v>0</v>
      </c>
      <c r="F22" s="110">
        <v>1</v>
      </c>
      <c r="G22" s="56">
        <v>15</v>
      </c>
      <c r="H22" s="110" cm="1">
        <f t="array" ref="H22">IFERROR(SUM($C$7:$F$7*C22:F22),"")</f>
        <v>2</v>
      </c>
      <c r="I22" s="139" t="s">
        <v>1207</v>
      </c>
      <c r="J22" s="110" t="s">
        <v>1365</v>
      </c>
      <c r="K22" s="110" t="s">
        <v>1287</v>
      </c>
      <c r="L22" s="110" t="s">
        <v>1288</v>
      </c>
      <c r="M22" s="110" t="s">
        <v>1221</v>
      </c>
      <c r="N22" s="110" t="s">
        <v>825</v>
      </c>
      <c r="O22" s="110" t="s">
        <v>1217</v>
      </c>
      <c r="P22" s="110"/>
      <c r="Q22" s="110">
        <v>1</v>
      </c>
      <c r="R22" s="141"/>
      <c r="S22" s="110">
        <v>0</v>
      </c>
      <c r="T22" s="115"/>
      <c r="U22" s="110" t="s">
        <v>1106</v>
      </c>
      <c r="V22" s="207">
        <v>939.87292092625125</v>
      </c>
      <c r="W22" s="110">
        <v>16</v>
      </c>
      <c r="X22" s="115"/>
      <c r="Y22" s="110" t="s">
        <v>894</v>
      </c>
      <c r="Z22" s="213">
        <v>10632290</v>
      </c>
      <c r="AA22" s="197" t="s">
        <v>932</v>
      </c>
    </row>
    <row r="23" spans="1:27" ht="33.75" thickBot="1">
      <c r="A23" s="192"/>
      <c r="B23" s="69" t="s">
        <v>30</v>
      </c>
      <c r="C23" s="110">
        <v>1</v>
      </c>
      <c r="D23" s="110">
        <v>1</v>
      </c>
      <c r="E23" s="110">
        <v>1</v>
      </c>
      <c r="F23" s="110">
        <v>1</v>
      </c>
      <c r="G23" s="41">
        <v>16</v>
      </c>
      <c r="H23" s="110" cm="1">
        <f t="array" ref="H23">IFERROR(SUM($C$7:$F$7*C23:F23),"")</f>
        <v>8</v>
      </c>
      <c r="I23" s="139" t="s">
        <v>1257</v>
      </c>
      <c r="J23" s="110" t="s">
        <v>1372</v>
      </c>
      <c r="K23" s="110" t="s">
        <v>1289</v>
      </c>
      <c r="L23" s="110" t="s">
        <v>1290</v>
      </c>
      <c r="M23" s="110" t="s">
        <v>1280</v>
      </c>
      <c r="N23" s="110" t="s">
        <v>825</v>
      </c>
      <c r="O23" s="110" t="s">
        <v>1217</v>
      </c>
      <c r="P23" s="110"/>
      <c r="Q23" s="110">
        <v>4</v>
      </c>
      <c r="R23" s="141"/>
      <c r="S23" s="110">
        <v>0</v>
      </c>
      <c r="T23" s="113"/>
      <c r="U23" s="110" t="s">
        <v>1106</v>
      </c>
      <c r="V23" s="207">
        <v>1660.8661426990102</v>
      </c>
      <c r="W23" s="110">
        <v>14</v>
      </c>
      <c r="X23" s="113"/>
      <c r="Y23" s="110" t="s">
        <v>894</v>
      </c>
      <c r="Z23" s="213">
        <v>10632291</v>
      </c>
      <c r="AA23" s="197" t="s">
        <v>932</v>
      </c>
    </row>
    <row r="24" spans="1:27" ht="33.75" thickBot="1">
      <c r="A24" s="192"/>
      <c r="B24" s="70" t="s">
        <v>31</v>
      </c>
      <c r="C24" s="110">
        <v>1</v>
      </c>
      <c r="D24" s="110">
        <v>1</v>
      </c>
      <c r="E24" s="110">
        <v>1</v>
      </c>
      <c r="F24" s="110">
        <v>1</v>
      </c>
      <c r="G24" s="41">
        <v>17</v>
      </c>
      <c r="H24" s="110" cm="1">
        <f t="array" ref="H24">IFERROR(SUM($C$7:$F$7*C24:F24),"")</f>
        <v>8</v>
      </c>
      <c r="I24" s="139" t="s">
        <v>1258</v>
      </c>
      <c r="J24" s="110" t="s">
        <v>1372</v>
      </c>
      <c r="K24" s="110" t="s">
        <v>1291</v>
      </c>
      <c r="L24" s="110" t="s">
        <v>1292</v>
      </c>
      <c r="M24" s="110" t="s">
        <v>1220</v>
      </c>
      <c r="N24" s="110" t="s">
        <v>825</v>
      </c>
      <c r="O24" s="110" t="s">
        <v>1217</v>
      </c>
      <c r="P24" s="110"/>
      <c r="Q24" s="110">
        <v>4</v>
      </c>
      <c r="R24" s="141"/>
      <c r="S24" s="110">
        <v>0</v>
      </c>
      <c r="T24" s="114"/>
      <c r="U24" s="110" t="s">
        <v>1106</v>
      </c>
      <c r="V24" s="207">
        <v>10318.86802965338</v>
      </c>
      <c r="W24" s="110">
        <v>18</v>
      </c>
      <c r="X24" s="114"/>
      <c r="Y24" s="110" t="s">
        <v>894</v>
      </c>
      <c r="Z24" s="213">
        <v>10632271</v>
      </c>
      <c r="AA24" s="197" t="s">
        <v>932</v>
      </c>
    </row>
    <row r="25" spans="1:27" ht="33.75" thickBot="1">
      <c r="A25" s="192"/>
      <c r="B25" s="70" t="s">
        <v>32</v>
      </c>
      <c r="C25" s="110">
        <v>0</v>
      </c>
      <c r="D25" s="110">
        <v>0</v>
      </c>
      <c r="E25" s="110">
        <v>0</v>
      </c>
      <c r="F25" s="110">
        <v>1</v>
      </c>
      <c r="G25" s="41">
        <v>18</v>
      </c>
      <c r="H25" s="110" cm="1">
        <f t="array" ref="H25">IFERROR(SUM($C$7:$F$7*C25:F25),"")</f>
        <v>2</v>
      </c>
      <c r="I25" s="139" t="s">
        <v>1259</v>
      </c>
      <c r="J25" s="110" t="s">
        <v>1365</v>
      </c>
      <c r="K25" s="110" t="s">
        <v>1293</v>
      </c>
      <c r="L25" s="110" t="s">
        <v>1294</v>
      </c>
      <c r="M25" s="110" t="s">
        <v>1221</v>
      </c>
      <c r="N25" s="110" t="s">
        <v>825</v>
      </c>
      <c r="O25" s="110" t="s">
        <v>1217</v>
      </c>
      <c r="P25" s="110"/>
      <c r="Q25" s="110">
        <v>1</v>
      </c>
      <c r="R25" s="141"/>
      <c r="S25" s="110">
        <v>0</v>
      </c>
      <c r="T25" s="114"/>
      <c r="U25" s="110" t="s">
        <v>1106</v>
      </c>
      <c r="V25" s="207">
        <v>1902.3323639991922</v>
      </c>
      <c r="W25" s="110">
        <v>18</v>
      </c>
      <c r="X25" s="114"/>
      <c r="Y25" s="110" t="s">
        <v>894</v>
      </c>
      <c r="Z25" s="213">
        <v>10632267</v>
      </c>
      <c r="AA25" s="197" t="s">
        <v>932</v>
      </c>
    </row>
    <row r="26" spans="1:27" ht="33.75" thickBot="1">
      <c r="A26" s="192"/>
      <c r="B26" s="70" t="s">
        <v>6</v>
      </c>
      <c r="C26" s="110">
        <v>0</v>
      </c>
      <c r="D26" s="110">
        <v>0</v>
      </c>
      <c r="E26" s="110">
        <v>0</v>
      </c>
      <c r="F26" s="110">
        <v>6</v>
      </c>
      <c r="G26" s="41">
        <v>19</v>
      </c>
      <c r="H26" s="110" cm="1">
        <f t="array" ref="H26">IFERROR(SUM($C$7:$F$7*C26:F26),"")</f>
        <v>12</v>
      </c>
      <c r="I26" s="139" t="s">
        <v>1259</v>
      </c>
      <c r="J26" s="110" t="s">
        <v>1365</v>
      </c>
      <c r="K26" s="110" t="s">
        <v>1297</v>
      </c>
      <c r="L26" s="110" t="s">
        <v>1298</v>
      </c>
      <c r="M26" s="110" t="s">
        <v>1221</v>
      </c>
      <c r="N26" s="110" t="s">
        <v>825</v>
      </c>
      <c r="O26" s="110" t="s">
        <v>1217</v>
      </c>
      <c r="P26" s="110"/>
      <c r="Q26" s="110">
        <v>6</v>
      </c>
      <c r="R26" s="141"/>
      <c r="S26" s="110">
        <v>0</v>
      </c>
      <c r="T26" s="114"/>
      <c r="U26" s="110" t="s">
        <v>1106</v>
      </c>
      <c r="V26" s="207">
        <v>784.3868367669487</v>
      </c>
      <c r="W26" s="110">
        <v>18</v>
      </c>
      <c r="X26" s="114"/>
      <c r="Y26" s="110" t="s">
        <v>894</v>
      </c>
      <c r="Z26" s="213">
        <v>10632268</v>
      </c>
      <c r="AA26" s="197" t="s">
        <v>932</v>
      </c>
    </row>
    <row r="27" spans="1:27" ht="33.75" thickBot="1">
      <c r="A27" s="192"/>
      <c r="B27" s="64"/>
      <c r="C27" s="110">
        <v>0</v>
      </c>
      <c r="D27" s="110">
        <v>0</v>
      </c>
      <c r="E27" s="110">
        <v>0</v>
      </c>
      <c r="F27" s="110">
        <v>1</v>
      </c>
      <c r="G27" s="56">
        <v>20</v>
      </c>
      <c r="H27" s="110" cm="1">
        <f t="array" ref="H27">IFERROR(SUM($C$7:$F$7*C27:F27),"")</f>
        <v>2</v>
      </c>
      <c r="I27" s="139" t="s">
        <v>1299</v>
      </c>
      <c r="J27" s="110" t="s">
        <v>1365</v>
      </c>
      <c r="K27" s="110" t="s">
        <v>1303</v>
      </c>
      <c r="L27" s="110" t="s">
        <v>1304</v>
      </c>
      <c r="M27" s="110" t="s">
        <v>1220</v>
      </c>
      <c r="N27" s="110" t="s">
        <v>825</v>
      </c>
      <c r="O27" s="110" t="s">
        <v>1217</v>
      </c>
      <c r="P27" s="110"/>
      <c r="Q27" s="110">
        <v>1</v>
      </c>
      <c r="R27" s="141"/>
      <c r="S27" s="110">
        <v>0</v>
      </c>
      <c r="T27" s="115"/>
      <c r="U27" s="110" t="s">
        <v>1106</v>
      </c>
      <c r="V27" s="207">
        <v>637.83143271988843</v>
      </c>
      <c r="W27" s="110">
        <v>14</v>
      </c>
      <c r="X27" s="115"/>
      <c r="Y27" s="110" t="s">
        <v>894</v>
      </c>
      <c r="Z27" s="213">
        <v>10632292</v>
      </c>
      <c r="AA27" s="197" t="s">
        <v>932</v>
      </c>
    </row>
    <row r="28" spans="1:27" ht="33.75" thickBot="1">
      <c r="A28" s="192"/>
      <c r="B28" s="71"/>
      <c r="C28" s="110">
        <v>1</v>
      </c>
      <c r="D28" s="110">
        <v>1</v>
      </c>
      <c r="E28" s="110">
        <v>1</v>
      </c>
      <c r="F28" s="110">
        <v>1</v>
      </c>
      <c r="G28" s="41">
        <v>21</v>
      </c>
      <c r="H28" s="110" cm="1">
        <f t="array" ref="H28">IFERROR(SUM($C$7:$F$7*C28:F28),"")</f>
        <v>8</v>
      </c>
      <c r="I28" s="139" t="s">
        <v>1208</v>
      </c>
      <c r="J28" s="110" t="s">
        <v>1372</v>
      </c>
      <c r="K28" s="110" t="s">
        <v>1305</v>
      </c>
      <c r="L28" s="110" t="s">
        <v>1222</v>
      </c>
      <c r="M28" s="110" t="s">
        <v>1221</v>
      </c>
      <c r="N28" s="110" t="s">
        <v>825</v>
      </c>
      <c r="O28" s="110" t="s">
        <v>1217</v>
      </c>
      <c r="P28" s="110"/>
      <c r="Q28" s="110">
        <v>4</v>
      </c>
      <c r="R28" s="141"/>
      <c r="S28" s="110">
        <v>0</v>
      </c>
      <c r="T28" s="113"/>
      <c r="U28" s="110" t="s">
        <v>1106</v>
      </c>
      <c r="V28" s="207">
        <v>383.64446964754012</v>
      </c>
      <c r="W28" s="110">
        <v>14</v>
      </c>
      <c r="X28" s="113"/>
      <c r="Y28" s="110" t="s">
        <v>894</v>
      </c>
      <c r="Z28" s="213">
        <v>10632287</v>
      </c>
      <c r="AA28" s="197" t="s">
        <v>932</v>
      </c>
    </row>
    <row r="29" spans="1:27" ht="33.75" thickBot="1">
      <c r="A29" s="192"/>
      <c r="B29" s="71"/>
      <c r="C29" s="110"/>
      <c r="D29" s="110"/>
      <c r="E29" s="110"/>
      <c r="F29" s="110"/>
      <c r="G29" s="41">
        <v>22</v>
      </c>
      <c r="H29" s="110" cm="1">
        <f t="array" ref="H29">IFERROR(SUM($C$7:$F$7*C29:F29),"")</f>
        <v>0</v>
      </c>
      <c r="I29" s="139"/>
      <c r="J29" s="110"/>
      <c r="K29" s="110"/>
      <c r="L29" s="110"/>
      <c r="M29" s="110"/>
      <c r="N29" s="110"/>
      <c r="O29" s="110"/>
      <c r="P29" s="110"/>
      <c r="Q29" s="110"/>
      <c r="R29" s="141"/>
      <c r="S29" s="110"/>
      <c r="T29" s="114"/>
      <c r="U29" s="110" t="s">
        <v>1106</v>
      </c>
      <c r="V29" s="110"/>
      <c r="W29" s="110"/>
      <c r="X29" s="114"/>
      <c r="Y29" s="110" t="s">
        <v>894</v>
      </c>
      <c r="Z29" s="114"/>
      <c r="AA29" s="197" t="s">
        <v>932</v>
      </c>
    </row>
    <row r="30" spans="1:27" ht="33.75" thickBot="1">
      <c r="A30" s="192"/>
      <c r="B30" s="71"/>
      <c r="C30" s="110"/>
      <c r="D30" s="110"/>
      <c r="E30" s="110"/>
      <c r="F30" s="110"/>
      <c r="G30" s="41">
        <v>23</v>
      </c>
      <c r="H30" s="110" cm="1">
        <f t="array" ref="H30">IFERROR(SUM($C$7:$F$7*C30:F30),"")</f>
        <v>0</v>
      </c>
      <c r="I30" s="139"/>
      <c r="J30" s="110"/>
      <c r="K30" s="110"/>
      <c r="L30" s="110"/>
      <c r="M30" s="110"/>
      <c r="N30" s="110"/>
      <c r="O30" s="110"/>
      <c r="P30" s="62"/>
      <c r="Q30" s="110"/>
      <c r="R30" s="141"/>
      <c r="S30" s="110"/>
      <c r="T30" s="114"/>
      <c r="U30" s="110" t="s">
        <v>1106</v>
      </c>
      <c r="V30" s="110"/>
      <c r="W30" s="110"/>
      <c r="X30" s="114"/>
      <c r="Y30" s="110" t="s">
        <v>894</v>
      </c>
      <c r="Z30" s="114"/>
      <c r="AA30" s="197" t="s">
        <v>932</v>
      </c>
    </row>
    <row r="31" spans="1:27" ht="33.75" thickBot="1">
      <c r="A31" s="192"/>
      <c r="B31" s="71"/>
      <c r="C31" s="110"/>
      <c r="D31" s="110"/>
      <c r="E31" s="110"/>
      <c r="F31" s="110"/>
      <c r="G31" s="56">
        <v>24</v>
      </c>
      <c r="H31" s="110" cm="1">
        <f t="array" ref="H31">IFERROR(SUM($C$7:$F$7*C31:F31),"")</f>
        <v>0</v>
      </c>
      <c r="I31" s="139"/>
      <c r="J31" s="110"/>
      <c r="K31" s="110"/>
      <c r="L31" s="110"/>
      <c r="M31" s="110"/>
      <c r="N31" s="110"/>
      <c r="O31" s="110"/>
      <c r="P31" s="110"/>
      <c r="Q31" s="110"/>
      <c r="R31" s="141"/>
      <c r="S31" s="110"/>
      <c r="T31" s="116"/>
      <c r="U31" s="110" t="s">
        <v>1106</v>
      </c>
      <c r="V31" s="110"/>
      <c r="W31" s="110"/>
      <c r="X31" s="115"/>
      <c r="Y31" s="110" t="s">
        <v>894</v>
      </c>
      <c r="Z31" s="115"/>
      <c r="AA31" s="197" t="s">
        <v>932</v>
      </c>
    </row>
    <row r="32" spans="1:27" ht="22.9" customHeight="1" thickBot="1">
      <c r="A32" s="184" t="s">
        <v>6</v>
      </c>
      <c r="B32" s="27" t="s">
        <v>6</v>
      </c>
      <c r="C32" s="230" t="s">
        <v>1368</v>
      </c>
      <c r="D32" s="230" t="s">
        <v>1369</v>
      </c>
      <c r="E32" s="230" t="s">
        <v>1370</v>
      </c>
      <c r="F32" s="230" t="s">
        <v>1371</v>
      </c>
      <c r="G32" s="276"/>
      <c r="H32" s="232"/>
      <c r="I32" s="28" t="s">
        <v>33</v>
      </c>
      <c r="J32" s="130" t="s">
        <v>1229</v>
      </c>
      <c r="K32" s="282" t="s">
        <v>51</v>
      </c>
      <c r="L32" s="283"/>
      <c r="M32" s="283"/>
      <c r="N32" s="283"/>
      <c r="O32" s="284"/>
      <c r="P32" s="240" t="s">
        <v>1125</v>
      </c>
      <c r="Q32" s="241"/>
      <c r="R32" s="241"/>
      <c r="S32" s="241"/>
      <c r="T32" s="241"/>
      <c r="U32" s="241"/>
      <c r="V32" s="242"/>
      <c r="W32" s="29" t="s">
        <v>34</v>
      </c>
      <c r="X32" s="30"/>
      <c r="Y32" s="217" t="s">
        <v>1383</v>
      </c>
      <c r="Z32" s="218"/>
      <c r="AA32" s="219"/>
    </row>
    <row r="33" spans="1:27" ht="17.100000000000001" customHeight="1" thickBot="1">
      <c r="A33" s="185"/>
      <c r="B33" s="43" t="s">
        <v>35</v>
      </c>
      <c r="C33" s="230"/>
      <c r="D33" s="230"/>
      <c r="E33" s="230"/>
      <c r="F33" s="230"/>
      <c r="G33" s="277"/>
      <c r="H33" s="233"/>
      <c r="I33" s="32" t="s">
        <v>36</v>
      </c>
      <c r="J33" s="130" t="s">
        <v>1230</v>
      </c>
      <c r="K33" s="149" t="s">
        <v>1231</v>
      </c>
      <c r="L33" s="285" t="s">
        <v>1232</v>
      </c>
      <c r="M33" s="285"/>
      <c r="N33" s="150" t="s">
        <v>1233</v>
      </c>
      <c r="O33" s="151" t="s">
        <v>1234</v>
      </c>
      <c r="P33" s="243"/>
      <c r="Q33" s="244"/>
      <c r="R33" s="244"/>
      <c r="S33" s="244"/>
      <c r="T33" s="244"/>
      <c r="U33" s="244"/>
      <c r="V33" s="245"/>
      <c r="W33" s="33" t="s">
        <v>37</v>
      </c>
      <c r="X33" s="34"/>
      <c r="Y33" s="217">
        <v>45888</v>
      </c>
      <c r="Z33" s="218"/>
      <c r="AA33" s="219"/>
    </row>
    <row r="34" spans="1:27" ht="17.100000000000001" customHeight="1" thickBot="1">
      <c r="A34" s="185">
        <v>6</v>
      </c>
      <c r="B34" s="31" t="s">
        <v>49</v>
      </c>
      <c r="C34" s="230"/>
      <c r="D34" s="230"/>
      <c r="E34" s="230"/>
      <c r="F34" s="230"/>
      <c r="G34" s="277"/>
      <c r="H34" s="233"/>
      <c r="I34" s="35" t="s">
        <v>38</v>
      </c>
      <c r="J34" s="130" t="s">
        <v>1379</v>
      </c>
      <c r="K34" s="147" t="s">
        <v>1235</v>
      </c>
      <c r="L34" s="286" t="s">
        <v>1236</v>
      </c>
      <c r="M34" s="286"/>
      <c r="N34" s="152" t="s">
        <v>1237</v>
      </c>
      <c r="O34" s="151" t="s">
        <v>1238</v>
      </c>
      <c r="P34" s="243"/>
      <c r="Q34" s="244"/>
      <c r="R34" s="244"/>
      <c r="S34" s="244"/>
      <c r="T34" s="244"/>
      <c r="U34" s="244"/>
      <c r="V34" s="245"/>
      <c r="W34" s="33" t="s">
        <v>39</v>
      </c>
      <c r="X34" s="34"/>
      <c r="Y34" s="274"/>
      <c r="Z34" s="274"/>
      <c r="AA34" s="275"/>
    </row>
    <row r="35" spans="1:27" ht="17.100000000000001" customHeight="1">
      <c r="A35" s="185"/>
      <c r="B35" s="42" t="s">
        <v>48</v>
      </c>
      <c r="C35" s="230"/>
      <c r="D35" s="230"/>
      <c r="E35" s="230"/>
      <c r="F35" s="230"/>
      <c r="G35" s="277"/>
      <c r="H35" s="233"/>
      <c r="I35" s="36" t="s">
        <v>40</v>
      </c>
      <c r="J35" s="37"/>
      <c r="K35" s="146" t="s">
        <v>1239</v>
      </c>
      <c r="L35" s="146" t="s">
        <v>1240</v>
      </c>
      <c r="M35" s="146"/>
      <c r="N35" s="146" t="s">
        <v>1241</v>
      </c>
      <c r="O35" s="146" t="s">
        <v>1242</v>
      </c>
      <c r="P35" s="243"/>
      <c r="Q35" s="244"/>
      <c r="R35" s="244"/>
      <c r="S35" s="244"/>
      <c r="T35" s="244"/>
      <c r="U35" s="244"/>
      <c r="V35" s="245"/>
      <c r="W35" s="38" t="s">
        <v>41</v>
      </c>
      <c r="X35" s="39"/>
      <c r="Y35" s="205">
        <v>7</v>
      </c>
      <c r="Z35" s="39" t="s">
        <v>31</v>
      </c>
      <c r="AA35" s="206">
        <v>9</v>
      </c>
    </row>
    <row r="36" spans="1:27" ht="17.100000000000001" customHeight="1" thickBot="1">
      <c r="A36" s="186"/>
      <c r="B36" s="196" t="s">
        <v>42</v>
      </c>
      <c r="C36" s="231"/>
      <c r="D36" s="231"/>
      <c r="E36" s="231"/>
      <c r="F36" s="231"/>
      <c r="G36" s="278"/>
      <c r="H36" s="234"/>
      <c r="I36" s="180" t="s">
        <v>43</v>
      </c>
      <c r="J36" s="181"/>
      <c r="K36" s="148" t="s">
        <v>1243</v>
      </c>
      <c r="L36" s="148" t="s">
        <v>1244</v>
      </c>
      <c r="M36" s="148" t="s">
        <v>1245</v>
      </c>
      <c r="N36" s="148" t="s">
        <v>1246</v>
      </c>
      <c r="O36" s="148" t="s">
        <v>1247</v>
      </c>
      <c r="P36" s="246"/>
      <c r="Q36" s="247"/>
      <c r="R36" s="247"/>
      <c r="S36" s="247"/>
      <c r="T36" s="247"/>
      <c r="U36" s="247"/>
      <c r="V36" s="248"/>
      <c r="W36" s="182" t="s">
        <v>44</v>
      </c>
      <c r="X36" s="183"/>
      <c r="Y36" s="220">
        <v>2316054</v>
      </c>
      <c r="Z36" s="220"/>
      <c r="AA36" s="221"/>
    </row>
    <row r="37" spans="1:27" ht="17.100000000000001" customHeight="1"/>
  </sheetData>
  <sheetProtection algorithmName="SHA-512" hashValue="58T07tr9pI9XuHmhytY4iw+YKTm7kKk10MTXy7clAU1bLJNjQGDBgu0ScOjd/7r+rZyJDHC2ty4Ug4zz1XdwAg==" saltValue="I5+8BmAJ9/6f/uO2ZtpyzQ==" spinCount="100000" sheet="1" scenarios="1" formatCells="0" formatColumns="0" formatRows="0"/>
  <mergeCells count="35">
    <mergeCell ref="B1:B3"/>
    <mergeCell ref="C1:C3"/>
    <mergeCell ref="D1:D3"/>
    <mergeCell ref="E1:E3"/>
    <mergeCell ref="F1:F3"/>
    <mergeCell ref="W4:AA4"/>
    <mergeCell ref="U5:AA5"/>
    <mergeCell ref="U1:X1"/>
    <mergeCell ref="Y1:AA1"/>
    <mergeCell ref="G2:L4"/>
    <mergeCell ref="U2:W2"/>
    <mergeCell ref="X2:AA2"/>
    <mergeCell ref="U3:X3"/>
    <mergeCell ref="Y3:AA3"/>
    <mergeCell ref="G1:L1"/>
    <mergeCell ref="B4:B5"/>
    <mergeCell ref="C4:C5"/>
    <mergeCell ref="D4:D5"/>
    <mergeCell ref="E4:E5"/>
    <mergeCell ref="F4:F5"/>
    <mergeCell ref="Y36:AA36"/>
    <mergeCell ref="U7:V7"/>
    <mergeCell ref="C32:C36"/>
    <mergeCell ref="D32:D36"/>
    <mergeCell ref="E32:E36"/>
    <mergeCell ref="F32:F36"/>
    <mergeCell ref="G32:G36"/>
    <mergeCell ref="H32:H36"/>
    <mergeCell ref="K32:O32"/>
    <mergeCell ref="P32:V36"/>
    <mergeCell ref="Y32:AA32"/>
    <mergeCell ref="L33:M33"/>
    <mergeCell ref="Y33:AA33"/>
    <mergeCell ref="L34:M34"/>
    <mergeCell ref="Y34:AA34"/>
  </mergeCells>
  <dataValidations count="3">
    <dataValidation type="decimal" operator="greaterThan" showInputMessage="1" showErrorMessage="1" sqref="V8:V31" xr:uid="{BDC9D68E-5B40-4CFA-94B8-071AD83BDD18}">
      <formula1>0</formula1>
    </dataValidation>
    <dataValidation showInputMessage="1" showErrorMessage="1" sqref="M8:M31" xr:uid="{153D4250-CD6E-4F7B-A07C-50ADCA742E53}"/>
    <dataValidation type="decimal" showInputMessage="1" showErrorMessage="1" sqref="Q8:T31" xr:uid="{5462FFDC-0948-4594-9BAB-3C3B0029B23F}">
      <formula1>0</formula1>
      <formula2>9999999</formula2>
    </dataValidation>
  </dataValidations>
  <printOptions horizontalCentered="1"/>
  <pageMargins left="0" right="0" top="0.25" bottom="0.25" header="0" footer="0"/>
  <pageSetup paperSize="8" scale="74"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Line="0" autoPict="0">
                <anchor moveWithCells="1" sizeWithCells="1">
                  <from>
                    <xdr:col>0</xdr:col>
                    <xdr:colOff>0</xdr:colOff>
                    <xdr:row>31</xdr:row>
                    <xdr:rowOff>57150</xdr:rowOff>
                  </from>
                  <to>
                    <xdr:col>0</xdr:col>
                    <xdr:colOff>0</xdr:colOff>
                    <xdr:row>36</xdr:row>
                    <xdr:rowOff>104775</xdr:rowOff>
                  </to>
                </anchor>
              </controlPr>
            </control>
          </mc:Choice>
        </mc:AlternateContent>
        <mc:AlternateContent xmlns:mc="http://schemas.openxmlformats.org/markup-compatibility/2006">
          <mc:Choice Requires="x14">
            <control shapeId="10242" r:id="rId5" name="Check Box 2">
              <controlPr locked="0" defaultSize="0" autoFill="0" autoLine="0" autoPict="0">
                <anchor moveWithCells="1">
                  <from>
                    <xdr:col>7</xdr:col>
                    <xdr:colOff>247650</xdr:colOff>
                    <xdr:row>0</xdr:row>
                    <xdr:rowOff>209550</xdr:rowOff>
                  </from>
                  <to>
                    <xdr:col>8</xdr:col>
                    <xdr:colOff>1619250</xdr:colOff>
                    <xdr:row>0</xdr:row>
                    <xdr:rowOff>342900</xdr:rowOff>
                  </to>
                </anchor>
              </controlPr>
            </control>
          </mc:Choice>
        </mc:AlternateContent>
        <mc:AlternateContent xmlns:mc="http://schemas.openxmlformats.org/markup-compatibility/2006">
          <mc:Choice Requires="x14">
            <control shapeId="10243" r:id="rId6" name="Check Box 3">
              <controlPr locked="0" defaultSize="0" autoFill="0" autoLine="0" autoPict="0">
                <anchor moveWithCells="1">
                  <from>
                    <xdr:col>7</xdr:col>
                    <xdr:colOff>247650</xdr:colOff>
                    <xdr:row>0</xdr:row>
                    <xdr:rowOff>361950</xdr:rowOff>
                  </from>
                  <to>
                    <xdr:col>8</xdr:col>
                    <xdr:colOff>1409700</xdr:colOff>
                    <xdr:row>1</xdr:row>
                    <xdr:rowOff>19050</xdr:rowOff>
                  </to>
                </anchor>
              </controlPr>
            </control>
          </mc:Choice>
        </mc:AlternateContent>
        <mc:AlternateContent xmlns:mc="http://schemas.openxmlformats.org/markup-compatibility/2006">
          <mc:Choice Requires="x14">
            <control shapeId="10244" r:id="rId7" name="Check Box 4">
              <controlPr locked="0" defaultSize="0" autoFill="0" autoLine="0" autoPict="0">
                <anchor moveWithCells="1">
                  <from>
                    <xdr:col>9</xdr:col>
                    <xdr:colOff>38100</xdr:colOff>
                    <xdr:row>0</xdr:row>
                    <xdr:rowOff>180975</xdr:rowOff>
                  </from>
                  <to>
                    <xdr:col>9</xdr:col>
                    <xdr:colOff>1200150</xdr:colOff>
                    <xdr:row>0</xdr:row>
                    <xdr:rowOff>361950</xdr:rowOff>
                  </to>
                </anchor>
              </controlPr>
            </control>
          </mc:Choice>
        </mc:AlternateContent>
        <mc:AlternateContent xmlns:mc="http://schemas.openxmlformats.org/markup-compatibility/2006">
          <mc:Choice Requires="x14">
            <control shapeId="10245" r:id="rId8" name="Check Box 5">
              <controlPr locked="0" defaultSize="0" autoFill="0" autoLine="0" autoPict="0">
                <anchor moveWithCells="1">
                  <from>
                    <xdr:col>9</xdr:col>
                    <xdr:colOff>38100</xdr:colOff>
                    <xdr:row>0</xdr:row>
                    <xdr:rowOff>361950</xdr:rowOff>
                  </from>
                  <to>
                    <xdr:col>9</xdr:col>
                    <xdr:colOff>1428750</xdr:colOff>
                    <xdr:row>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A9B70E89-72D2-45D8-BA80-1047A8FE90AD}">
          <x14:formula1>
            <xm:f>'Validation Lists'!$J$3:$J$50</xm:f>
          </x14:formula1>
          <xm:sqref>Y8:Y31</xm:sqref>
        </x14:dataValidation>
        <x14:dataValidation type="list" allowBlank="1" showInputMessage="1" showErrorMessage="1" xr:uid="{3FFD7D0D-4821-44FF-8EB8-3014B3DB1B3D}">
          <x14:formula1>
            <xm:f>'Validation Lists'!$C$2:$C$6</xm:f>
          </x14:formula1>
          <xm:sqref>AA8:AA31</xm:sqref>
        </x14:dataValidation>
        <x14:dataValidation type="list" showInputMessage="1" showErrorMessage="1" xr:uid="{6877FB88-264D-4DF7-A6A7-D9DCE390A2D6}">
          <x14:formula1>
            <xm:f>'Validation Lists'!$P$2:$P$35</xm:f>
          </x14:formula1>
          <xm:sqref>N9:N31</xm:sqref>
        </x14:dataValidation>
        <x14:dataValidation type="list" showInputMessage="1" showErrorMessage="1" xr:uid="{D3F2801E-0D42-4B82-BB32-14CCCA372CE8}">
          <x14:formula1>
            <xm:f>'Validation Lists'!$G$2:$G$189</xm:f>
          </x14:formula1>
          <xm:sqref>U8:U31</xm:sqref>
        </x14:dataValidation>
        <x14:dataValidation type="list" operator="greaterThan" showDropDown="1" showInputMessage="1" showErrorMessage="1" xr:uid="{05849AAA-E148-4027-A341-3A16F80B57C6}">
          <x14:formula1>
            <xm:f>'Validation Lists'!$E$2:$E$501</xm:f>
          </x14:formula1>
          <xm:sqref>W8:W31</xm:sqref>
        </x14:dataValidation>
        <x14:dataValidation type="list" showInputMessage="1" showErrorMessage="1" xr:uid="{657C2A82-0A51-4C5A-A532-C287F8101E30}">
          <x14:formula1>
            <xm:f>'Validation Lists'!$P$2:$P$62</xm:f>
          </x14:formula1>
          <xm:sqref>N8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8167E-E0AE-462B-9486-E1DB02A6094D}">
  <sheetPr codeName="Sheet9"/>
  <dimension ref="A1:AB37"/>
  <sheetViews>
    <sheetView showGridLines="0" view="pageBreakPreview" topLeftCell="A6" zoomScale="70" zoomScaleNormal="70" zoomScaleSheetLayoutView="70" workbookViewId="0">
      <selection activeCell="F4" sqref="F4:F5"/>
    </sheetView>
  </sheetViews>
  <sheetFormatPr defaultRowHeight="12.75"/>
  <cols>
    <col min="1" max="1" width="1.7109375" customWidth="1"/>
    <col min="2" max="2" width="3.7109375" customWidth="1"/>
    <col min="3" max="7" width="2.7109375" customWidth="1"/>
    <col min="8" max="8" width="3.7109375" customWidth="1"/>
    <col min="9" max="9" width="25.7109375" customWidth="1"/>
    <col min="10" max="10" width="24.28515625" customWidth="1"/>
    <col min="11" max="11" width="8.7109375" customWidth="1"/>
    <col min="12" max="12" width="12.28515625" customWidth="1"/>
    <col min="13" max="13" width="8.7109375" customWidth="1"/>
    <col min="14" max="14" width="25.7109375" customWidth="1"/>
    <col min="15" max="15" width="16.28515625" customWidth="1"/>
    <col min="16" max="16" width="32.28515625" customWidth="1"/>
    <col min="17" max="19" width="3.7109375" customWidth="1"/>
    <col min="20" max="20" width="3.5703125" customWidth="1"/>
    <col min="21" max="21" width="4.5703125" customWidth="1"/>
    <col min="22" max="22" width="6.5703125" bestFit="1" customWidth="1"/>
    <col min="23" max="23" width="3.7109375" customWidth="1"/>
    <col min="24" max="24" width="4.7109375" customWidth="1"/>
    <col min="25" max="25" width="17.42578125" customWidth="1"/>
    <col min="26" max="26" width="12.7109375" customWidth="1"/>
    <col min="27" max="27" width="5.7109375" customWidth="1"/>
    <col min="28" max="28" width="10" hidden="1" customWidth="1"/>
  </cols>
  <sheetData>
    <row r="1" spans="1:28" ht="45.75" customHeight="1" thickBot="1">
      <c r="A1" s="184"/>
      <c r="B1" s="279" t="s">
        <v>493</v>
      </c>
      <c r="C1" s="252" t="s">
        <v>1385</v>
      </c>
      <c r="D1" s="252" t="s">
        <v>1386</v>
      </c>
      <c r="E1" s="252" t="s">
        <v>1387</v>
      </c>
      <c r="F1" s="252" t="s">
        <v>1388</v>
      </c>
      <c r="G1" s="260" t="s">
        <v>55</v>
      </c>
      <c r="H1" s="261"/>
      <c r="I1" s="261"/>
      <c r="J1" s="261"/>
      <c r="K1" s="261"/>
      <c r="L1" s="262"/>
      <c r="M1" s="156" t="s">
        <v>54</v>
      </c>
      <c r="N1" s="157"/>
      <c r="O1" s="158"/>
      <c r="P1" s="158"/>
      <c r="Q1" s="158"/>
      <c r="R1" s="158"/>
      <c r="S1" s="158"/>
      <c r="T1" s="159"/>
      <c r="U1" s="258" t="s">
        <v>53</v>
      </c>
      <c r="V1" s="259"/>
      <c r="W1" s="259"/>
      <c r="X1" s="259"/>
      <c r="Y1" s="263" t="s">
        <v>1227</v>
      </c>
      <c r="Z1" s="263"/>
      <c r="AA1" s="264"/>
    </row>
    <row r="2" spans="1:28" ht="15.6" customHeight="1" thickBot="1">
      <c r="A2" s="185">
        <v>1</v>
      </c>
      <c r="B2" s="281"/>
      <c r="C2" s="253"/>
      <c r="D2" s="253"/>
      <c r="E2" s="253"/>
      <c r="F2" s="253"/>
      <c r="G2" s="265" t="s">
        <v>734</v>
      </c>
      <c r="H2" s="266"/>
      <c r="I2" s="266"/>
      <c r="J2" s="266"/>
      <c r="K2" s="266"/>
      <c r="L2" s="267"/>
      <c r="M2" s="3" t="s">
        <v>0</v>
      </c>
      <c r="N2" s="117"/>
      <c r="O2" s="82" t="s">
        <v>47</v>
      </c>
      <c r="P2" s="82"/>
      <c r="Q2" s="4"/>
      <c r="R2" s="4"/>
      <c r="S2" s="4"/>
      <c r="T2" s="5"/>
      <c r="U2" s="256" t="s">
        <v>1</v>
      </c>
      <c r="V2" s="257"/>
      <c r="W2" s="257"/>
      <c r="X2" s="263" t="s">
        <v>1228</v>
      </c>
      <c r="Y2" s="263"/>
      <c r="Z2" s="263"/>
      <c r="AA2" s="264"/>
      <c r="AB2" s="62" t="b">
        <v>0</v>
      </c>
    </row>
    <row r="3" spans="1:28" ht="22.5" customHeight="1" thickBot="1">
      <c r="A3" s="186"/>
      <c r="B3" s="280"/>
      <c r="C3" s="253"/>
      <c r="D3" s="253"/>
      <c r="E3" s="253"/>
      <c r="F3" s="253"/>
      <c r="G3" s="268"/>
      <c r="H3" s="269"/>
      <c r="I3" s="269"/>
      <c r="J3" s="269"/>
      <c r="K3" s="269"/>
      <c r="L3" s="270"/>
      <c r="M3" s="7" t="s">
        <v>2</v>
      </c>
      <c r="N3" s="118"/>
      <c r="O3" s="118"/>
      <c r="P3" s="118"/>
      <c r="Q3" s="118"/>
      <c r="R3" s="118"/>
      <c r="S3" s="118"/>
      <c r="T3" s="119"/>
      <c r="U3" s="254" t="s">
        <v>3</v>
      </c>
      <c r="V3" s="255"/>
      <c r="W3" s="255"/>
      <c r="X3" s="255"/>
      <c r="Y3" s="263" t="s">
        <v>1217</v>
      </c>
      <c r="Z3" s="263"/>
      <c r="AA3" s="264"/>
      <c r="AB3" s="62" t="b">
        <v>1</v>
      </c>
    </row>
    <row r="4" spans="1:28" ht="41.65" customHeight="1" thickBot="1">
      <c r="A4" s="184"/>
      <c r="B4" s="279" t="s">
        <v>494</v>
      </c>
      <c r="C4" s="253" t="s">
        <v>1359</v>
      </c>
      <c r="D4" s="253" t="s">
        <v>1333</v>
      </c>
      <c r="E4" s="253" t="s">
        <v>1249</v>
      </c>
      <c r="F4" s="253" t="s">
        <v>1360</v>
      </c>
      <c r="G4" s="271"/>
      <c r="H4" s="272"/>
      <c r="I4" s="272"/>
      <c r="J4" s="272"/>
      <c r="K4" s="272"/>
      <c r="L4" s="273"/>
      <c r="M4" s="9" t="s">
        <v>4</v>
      </c>
      <c r="N4" s="120"/>
      <c r="O4" s="120"/>
      <c r="P4" s="120"/>
      <c r="Q4" s="120"/>
      <c r="R4" s="120"/>
      <c r="S4" s="120"/>
      <c r="T4" s="121"/>
      <c r="U4" s="143" t="s">
        <v>5</v>
      </c>
      <c r="V4" s="124"/>
      <c r="W4" s="263" t="s">
        <v>1217</v>
      </c>
      <c r="X4" s="263"/>
      <c r="Y4" s="263"/>
      <c r="Z4" s="263"/>
      <c r="AA4" s="264"/>
      <c r="AB4" s="62" t="b">
        <v>0</v>
      </c>
    </row>
    <row r="5" spans="1:28" ht="27" customHeight="1" thickBot="1">
      <c r="A5" s="187">
        <v>2</v>
      </c>
      <c r="B5" s="280"/>
      <c r="C5" s="253"/>
      <c r="D5" s="253"/>
      <c r="E5" s="253"/>
      <c r="F5" s="253"/>
      <c r="G5" s="11"/>
      <c r="H5" s="12" t="s">
        <v>6</v>
      </c>
      <c r="I5" s="13" t="s">
        <v>7</v>
      </c>
      <c r="J5" s="14"/>
      <c r="K5" s="14"/>
      <c r="L5" s="14"/>
      <c r="M5" s="14"/>
      <c r="N5" s="14"/>
      <c r="O5" s="15"/>
      <c r="P5" s="85"/>
      <c r="Q5" s="16" t="s">
        <v>8</v>
      </c>
      <c r="R5" s="17"/>
      <c r="S5" s="18" t="s">
        <v>9</v>
      </c>
      <c r="T5" s="19"/>
      <c r="U5" s="235" t="s">
        <v>50</v>
      </c>
      <c r="V5" s="236"/>
      <c r="W5" s="236"/>
      <c r="X5" s="236"/>
      <c r="Y5" s="236"/>
      <c r="Z5" s="236"/>
      <c r="AA5" s="237"/>
      <c r="AB5" s="62" t="b">
        <v>0</v>
      </c>
    </row>
    <row r="6" spans="1:28" ht="43.15" customHeight="1" thickBot="1">
      <c r="A6" s="188">
        <v>3</v>
      </c>
      <c r="B6" s="83" t="s">
        <v>10</v>
      </c>
      <c r="C6" s="135" t="s">
        <v>1361</v>
      </c>
      <c r="D6" s="135" t="s">
        <v>1362</v>
      </c>
      <c r="E6" s="135" t="s">
        <v>1363</v>
      </c>
      <c r="F6" s="135" t="s">
        <v>1364</v>
      </c>
      <c r="G6" s="21" t="s">
        <v>11</v>
      </c>
      <c r="H6" s="123" t="s">
        <v>12</v>
      </c>
      <c r="I6" s="45" t="s">
        <v>13</v>
      </c>
      <c r="J6" s="22" t="s">
        <v>14</v>
      </c>
      <c r="K6" s="76" t="s">
        <v>15</v>
      </c>
      <c r="L6" s="75" t="s">
        <v>16</v>
      </c>
      <c r="M6" s="77" t="s">
        <v>732</v>
      </c>
      <c r="N6" s="77" t="s">
        <v>733</v>
      </c>
      <c r="O6" s="75" t="s">
        <v>838</v>
      </c>
      <c r="P6" s="75" t="s">
        <v>839</v>
      </c>
      <c r="Q6" s="78" t="s">
        <v>17</v>
      </c>
      <c r="R6" s="79" t="s">
        <v>18</v>
      </c>
      <c r="S6" s="78" t="s">
        <v>17</v>
      </c>
      <c r="T6" s="79" t="s">
        <v>19</v>
      </c>
      <c r="U6" s="80" t="s">
        <v>841</v>
      </c>
      <c r="V6" s="80" t="s">
        <v>840</v>
      </c>
      <c r="W6" s="80" t="s">
        <v>20</v>
      </c>
      <c r="X6" s="81" t="s">
        <v>52</v>
      </c>
      <c r="Y6" s="80" t="s">
        <v>21</v>
      </c>
      <c r="Z6" s="23" t="s">
        <v>45</v>
      </c>
      <c r="AA6" s="161" t="s">
        <v>46</v>
      </c>
    </row>
    <row r="7" spans="1:28" ht="13.15" customHeight="1" thickBot="1">
      <c r="A7" s="189">
        <v>4</v>
      </c>
      <c r="B7" s="84" t="s">
        <v>22</v>
      </c>
      <c r="C7" s="137">
        <v>2</v>
      </c>
      <c r="D7" s="137">
        <v>2</v>
      </c>
      <c r="E7" s="137">
        <v>2</v>
      </c>
      <c r="F7" s="137">
        <v>2</v>
      </c>
      <c r="G7" s="24"/>
      <c r="H7" s="44">
        <v>7</v>
      </c>
      <c r="I7" s="44">
        <v>8</v>
      </c>
      <c r="J7" s="25">
        <v>9</v>
      </c>
      <c r="K7" s="44" t="s">
        <v>23</v>
      </c>
      <c r="L7" s="25" t="s">
        <v>24</v>
      </c>
      <c r="M7" s="44" t="s">
        <v>730</v>
      </c>
      <c r="N7" s="44" t="s">
        <v>731</v>
      </c>
      <c r="O7" s="44" t="s">
        <v>836</v>
      </c>
      <c r="P7" s="98" t="s">
        <v>837</v>
      </c>
      <c r="Q7" s="44">
        <v>13</v>
      </c>
      <c r="R7" s="26">
        <v>14</v>
      </c>
      <c r="S7" s="44">
        <v>15</v>
      </c>
      <c r="T7" s="26">
        <v>16</v>
      </c>
      <c r="U7" s="238">
        <v>17</v>
      </c>
      <c r="V7" s="239"/>
      <c r="W7" s="44">
        <v>18</v>
      </c>
      <c r="X7" s="26">
        <v>19</v>
      </c>
      <c r="Y7" s="44">
        <v>20</v>
      </c>
      <c r="Z7" s="26">
        <v>21</v>
      </c>
      <c r="AA7" s="163">
        <v>22</v>
      </c>
    </row>
    <row r="8" spans="1:28" ht="37.9" customHeight="1" thickBot="1">
      <c r="A8" s="190"/>
      <c r="B8" s="63"/>
      <c r="C8" s="110">
        <v>1</v>
      </c>
      <c r="D8" s="110">
        <v>1</v>
      </c>
      <c r="E8" s="110">
        <v>1</v>
      </c>
      <c r="F8" s="110">
        <v>1</v>
      </c>
      <c r="G8" s="41">
        <v>1</v>
      </c>
      <c r="H8" s="110" cm="1">
        <f t="array" ref="H8">IFERROR(SUM($C$7:$F$7*C8:F8),"")</f>
        <v>8</v>
      </c>
      <c r="I8" s="139" t="s">
        <v>1209</v>
      </c>
      <c r="J8" s="110" t="s">
        <v>1373</v>
      </c>
      <c r="K8" s="110" t="s">
        <v>1215</v>
      </c>
      <c r="L8" s="110" t="s">
        <v>1306</v>
      </c>
      <c r="M8" s="110" t="s">
        <v>1221</v>
      </c>
      <c r="N8" s="110" t="s">
        <v>811</v>
      </c>
      <c r="O8" s="110" t="s">
        <v>1217</v>
      </c>
      <c r="P8" s="110"/>
      <c r="Q8" s="110">
        <v>4</v>
      </c>
      <c r="R8" s="113"/>
      <c r="S8" s="110">
        <v>0</v>
      </c>
      <c r="T8" s="113"/>
      <c r="U8" s="110" t="s">
        <v>1106</v>
      </c>
      <c r="V8" s="207">
        <v>2557.5593880206002</v>
      </c>
      <c r="W8" s="110">
        <v>10</v>
      </c>
      <c r="X8" s="113"/>
      <c r="Y8" s="110" t="s">
        <v>894</v>
      </c>
      <c r="Z8" s="213">
        <v>10245681</v>
      </c>
      <c r="AA8" s="197" t="s">
        <v>932</v>
      </c>
    </row>
    <row r="9" spans="1:28" ht="33.75" thickBot="1">
      <c r="A9" s="192"/>
      <c r="B9" s="64"/>
      <c r="C9" s="110">
        <v>1</v>
      </c>
      <c r="D9" s="110">
        <v>1</v>
      </c>
      <c r="E9" s="110">
        <v>1</v>
      </c>
      <c r="F9" s="110">
        <v>1</v>
      </c>
      <c r="G9" s="41">
        <v>2</v>
      </c>
      <c r="H9" s="110" cm="1">
        <f t="array" ref="H9">IFERROR(SUM($C$7:$F$7*C9:F9),"")</f>
        <v>8</v>
      </c>
      <c r="I9" s="139" t="s">
        <v>1300</v>
      </c>
      <c r="J9" s="110" t="s">
        <v>1373</v>
      </c>
      <c r="K9" s="110" t="s">
        <v>1307</v>
      </c>
      <c r="L9" s="110" t="s">
        <v>1308</v>
      </c>
      <c r="M9" s="110" t="s">
        <v>1220</v>
      </c>
      <c r="N9" s="110" t="s">
        <v>811</v>
      </c>
      <c r="O9" s="110" t="s">
        <v>1217</v>
      </c>
      <c r="P9" s="110"/>
      <c r="Q9" s="110">
        <v>4</v>
      </c>
      <c r="R9" s="114"/>
      <c r="S9" s="110">
        <v>0</v>
      </c>
      <c r="T9" s="114"/>
      <c r="U9" s="110" t="s">
        <v>1106</v>
      </c>
      <c r="V9" s="207">
        <v>380.83542188805353</v>
      </c>
      <c r="W9" s="110">
        <v>14</v>
      </c>
      <c r="X9" s="114"/>
      <c r="Y9" s="110" t="s">
        <v>894</v>
      </c>
      <c r="Z9" s="213">
        <v>10632283</v>
      </c>
      <c r="AA9" s="197" t="s">
        <v>932</v>
      </c>
    </row>
    <row r="10" spans="1:28" ht="33.75" thickBot="1">
      <c r="A10" s="192"/>
      <c r="B10" s="65"/>
      <c r="C10" s="110">
        <v>1</v>
      </c>
      <c r="D10" s="110">
        <v>1</v>
      </c>
      <c r="E10" s="110">
        <v>1</v>
      </c>
      <c r="F10" s="110">
        <v>1</v>
      </c>
      <c r="G10" s="41">
        <v>3</v>
      </c>
      <c r="H10" s="110" cm="1">
        <f t="array" ref="H10">IFERROR(SUM($C$7:$F$7*C10:F10),"")</f>
        <v>8</v>
      </c>
      <c r="I10" s="139" t="s">
        <v>1300</v>
      </c>
      <c r="J10" s="110" t="s">
        <v>1373</v>
      </c>
      <c r="K10" s="110" t="s">
        <v>1309</v>
      </c>
      <c r="L10" s="110" t="s">
        <v>1310</v>
      </c>
      <c r="M10" s="110" t="s">
        <v>1220</v>
      </c>
      <c r="N10" s="110" t="s">
        <v>811</v>
      </c>
      <c r="O10" s="110" t="s">
        <v>1217</v>
      </c>
      <c r="P10" s="110"/>
      <c r="Q10" s="110">
        <v>4</v>
      </c>
      <c r="R10" s="114"/>
      <c r="S10" s="110">
        <v>0</v>
      </c>
      <c r="T10" s="114"/>
      <c r="U10" s="110" t="s">
        <v>1106</v>
      </c>
      <c r="V10" s="207">
        <v>535.55555555555554</v>
      </c>
      <c r="W10" s="110">
        <v>14</v>
      </c>
      <c r="X10" s="114"/>
      <c r="Y10" s="110" t="s">
        <v>894</v>
      </c>
      <c r="Z10" s="213">
        <v>10632284</v>
      </c>
      <c r="AA10" s="197" t="s">
        <v>932</v>
      </c>
    </row>
    <row r="11" spans="1:28" ht="33.75" thickBot="1">
      <c r="A11" s="192"/>
      <c r="B11" s="65"/>
      <c r="C11" s="110">
        <v>1</v>
      </c>
      <c r="D11" s="110">
        <v>1</v>
      </c>
      <c r="E11" s="110">
        <v>1</v>
      </c>
      <c r="F11" s="110">
        <v>1</v>
      </c>
      <c r="G11" s="41">
        <v>4</v>
      </c>
      <c r="H11" s="110" cm="1">
        <f t="array" ref="H11">IFERROR(SUM($C$7:$F$7*C11:F11),"")</f>
        <v>8</v>
      </c>
      <c r="I11" s="139" t="s">
        <v>1210</v>
      </c>
      <c r="J11" s="110" t="s">
        <v>1373</v>
      </c>
      <c r="K11" s="110" t="s">
        <v>1216</v>
      </c>
      <c r="L11" s="110" t="s">
        <v>1311</v>
      </c>
      <c r="M11" s="110" t="s">
        <v>1221</v>
      </c>
      <c r="N11" s="110" t="s">
        <v>811</v>
      </c>
      <c r="O11" s="110" t="s">
        <v>1217</v>
      </c>
      <c r="P11" s="110"/>
      <c r="Q11" s="110">
        <v>4</v>
      </c>
      <c r="R11" s="115"/>
      <c r="S11" s="110">
        <v>0</v>
      </c>
      <c r="T11" s="115"/>
      <c r="U11" s="110" t="s">
        <v>1106</v>
      </c>
      <c r="V11" s="207">
        <v>264.32748538011697</v>
      </c>
      <c r="W11" s="110">
        <v>12</v>
      </c>
      <c r="X11" s="115"/>
      <c r="Y11" s="110" t="s">
        <v>894</v>
      </c>
      <c r="Z11" s="213">
        <v>10617318</v>
      </c>
      <c r="AA11" s="197" t="s">
        <v>932</v>
      </c>
    </row>
    <row r="12" spans="1:28" ht="33.75" thickBot="1">
      <c r="A12" s="192"/>
      <c r="B12" s="65"/>
      <c r="C12" s="110">
        <v>0</v>
      </c>
      <c r="D12" s="110">
        <v>0</v>
      </c>
      <c r="E12" s="110">
        <v>0</v>
      </c>
      <c r="F12" s="110">
        <v>1</v>
      </c>
      <c r="G12" s="56">
        <v>5</v>
      </c>
      <c r="H12" s="110" cm="1">
        <f t="array" ref="H12">IFERROR(SUM($C$7:$F$7*C12:F12),"")</f>
        <v>2</v>
      </c>
      <c r="I12" s="139" t="s">
        <v>1211</v>
      </c>
      <c r="J12" s="110" t="s">
        <v>1365</v>
      </c>
      <c r="K12" s="110" t="s">
        <v>1312</v>
      </c>
      <c r="L12" s="110" t="s">
        <v>1223</v>
      </c>
      <c r="M12" s="110" t="s">
        <v>1224</v>
      </c>
      <c r="N12" s="110" t="s">
        <v>811</v>
      </c>
      <c r="O12" s="110" t="s">
        <v>1217</v>
      </c>
      <c r="P12" s="110"/>
      <c r="Q12" s="110">
        <v>1</v>
      </c>
      <c r="R12" s="115"/>
      <c r="S12" s="110">
        <v>0</v>
      </c>
      <c r="T12" s="115"/>
      <c r="U12" s="110" t="s">
        <v>1106</v>
      </c>
      <c r="V12" s="207">
        <v>3711.8803594803248</v>
      </c>
      <c r="W12" s="110">
        <v>18</v>
      </c>
      <c r="X12" s="115"/>
      <c r="Y12" s="110" t="s">
        <v>894</v>
      </c>
      <c r="Z12" s="213">
        <v>10632272</v>
      </c>
      <c r="AA12" s="197" t="s">
        <v>932</v>
      </c>
    </row>
    <row r="13" spans="1:28" ht="33.75" thickBot="1">
      <c r="A13" s="192"/>
      <c r="B13" s="65"/>
      <c r="C13" s="110">
        <v>0</v>
      </c>
      <c r="D13" s="110">
        <v>0</v>
      </c>
      <c r="E13" s="110">
        <v>0</v>
      </c>
      <c r="F13" s="110">
        <v>2</v>
      </c>
      <c r="G13" s="41">
        <v>6</v>
      </c>
      <c r="H13" s="110" cm="1">
        <f t="array" ref="H13">IFERROR(SUM($C$7:$F$7*C13:F13),"")</f>
        <v>4</v>
      </c>
      <c r="I13" s="139" t="s">
        <v>1301</v>
      </c>
      <c r="J13" s="110" t="s">
        <v>1365</v>
      </c>
      <c r="K13" s="110" t="s">
        <v>1314</v>
      </c>
      <c r="L13" s="110" t="s">
        <v>1315</v>
      </c>
      <c r="M13" s="110" t="s">
        <v>1263</v>
      </c>
      <c r="N13" s="110" t="s">
        <v>811</v>
      </c>
      <c r="O13" s="110" t="s">
        <v>1217</v>
      </c>
      <c r="P13" s="110"/>
      <c r="Q13" s="110">
        <v>2</v>
      </c>
      <c r="R13" s="113"/>
      <c r="S13" s="110">
        <v>0</v>
      </c>
      <c r="T13" s="113"/>
      <c r="U13" s="110" t="s">
        <v>1106</v>
      </c>
      <c r="V13" s="207">
        <v>430.68994882207642</v>
      </c>
      <c r="W13" s="110">
        <v>18</v>
      </c>
      <c r="X13" s="113"/>
      <c r="Y13" s="110" t="s">
        <v>894</v>
      </c>
      <c r="Z13" s="213">
        <v>10632288</v>
      </c>
      <c r="AA13" s="197" t="s">
        <v>932</v>
      </c>
    </row>
    <row r="14" spans="1:28" ht="33.75" thickBot="1">
      <c r="A14" s="192"/>
      <c r="B14" s="65"/>
      <c r="C14" s="110">
        <v>0</v>
      </c>
      <c r="D14" s="110">
        <v>0</v>
      </c>
      <c r="E14" s="110">
        <v>0</v>
      </c>
      <c r="F14" s="110">
        <v>1</v>
      </c>
      <c r="G14" s="41">
        <v>7</v>
      </c>
      <c r="H14" s="110" cm="1">
        <f t="array" ref="H14">IFERROR(SUM($C$7:$F$7*C14:F14),"")</f>
        <v>2</v>
      </c>
      <c r="I14" s="139" t="s">
        <v>1302</v>
      </c>
      <c r="J14" s="110" t="s">
        <v>1365</v>
      </c>
      <c r="K14" s="110" t="s">
        <v>1316</v>
      </c>
      <c r="L14" s="110" t="s">
        <v>1317</v>
      </c>
      <c r="M14" s="110" t="s">
        <v>1220</v>
      </c>
      <c r="N14" s="110" t="s">
        <v>811</v>
      </c>
      <c r="O14" s="110" t="s">
        <v>1217</v>
      </c>
      <c r="P14" s="110"/>
      <c r="Q14" s="110">
        <v>1</v>
      </c>
      <c r="R14" s="114"/>
      <c r="S14" s="110">
        <v>0</v>
      </c>
      <c r="T14" s="114"/>
      <c r="U14" s="110" t="s">
        <v>1106</v>
      </c>
      <c r="V14" s="207">
        <v>165.68265980993215</v>
      </c>
      <c r="W14" s="110">
        <v>14</v>
      </c>
      <c r="X14" s="114"/>
      <c r="Y14" s="110" t="s">
        <v>894</v>
      </c>
      <c r="Z14" s="213">
        <v>10632278</v>
      </c>
      <c r="AA14" s="197" t="s">
        <v>932</v>
      </c>
    </row>
    <row r="15" spans="1:28" ht="33.75" thickBot="1">
      <c r="A15" s="192"/>
      <c r="B15" s="66" t="s">
        <v>6</v>
      </c>
      <c r="C15" s="110">
        <v>1</v>
      </c>
      <c r="D15" s="110">
        <v>1</v>
      </c>
      <c r="E15" s="110">
        <v>1</v>
      </c>
      <c r="F15" s="110">
        <v>1</v>
      </c>
      <c r="G15" s="41">
        <v>8</v>
      </c>
      <c r="H15" s="110" cm="1">
        <f t="array" ref="H15">IFERROR(SUM($C$7:$F$7*C15:F15),"")</f>
        <v>8</v>
      </c>
      <c r="I15" s="139" t="s">
        <v>1212</v>
      </c>
      <c r="J15" s="110" t="s">
        <v>1373</v>
      </c>
      <c r="K15" s="110" t="s">
        <v>1318</v>
      </c>
      <c r="L15" s="110" t="s">
        <v>1319</v>
      </c>
      <c r="M15" s="110" t="s">
        <v>1220</v>
      </c>
      <c r="N15" s="110" t="s">
        <v>811</v>
      </c>
      <c r="O15" s="110" t="s">
        <v>1217</v>
      </c>
      <c r="P15" s="110"/>
      <c r="Q15" s="110">
        <v>4</v>
      </c>
      <c r="R15" s="114"/>
      <c r="S15" s="110">
        <v>0</v>
      </c>
      <c r="T15" s="114"/>
      <c r="U15" s="110" t="s">
        <v>1106</v>
      </c>
      <c r="V15" s="207">
        <v>251.09834179959435</v>
      </c>
      <c r="W15" s="110">
        <v>14</v>
      </c>
      <c r="X15" s="114"/>
      <c r="Y15" s="110" t="s">
        <v>894</v>
      </c>
      <c r="Z15" s="213">
        <v>10632270</v>
      </c>
      <c r="AA15" s="197" t="s">
        <v>932</v>
      </c>
    </row>
    <row r="16" spans="1:28" ht="33.75" thickBot="1">
      <c r="A16" s="192"/>
      <c r="B16" s="67" t="s">
        <v>6</v>
      </c>
      <c r="C16" s="110">
        <v>1</v>
      </c>
      <c r="D16" s="110">
        <v>1</v>
      </c>
      <c r="E16" s="110">
        <v>1</v>
      </c>
      <c r="F16" s="110">
        <v>1</v>
      </c>
      <c r="G16" s="41">
        <v>9</v>
      </c>
      <c r="H16" s="110" cm="1">
        <f t="array" ref="H16">IFERROR(SUM($C$7:$F$7*C16:F16),"")</f>
        <v>8</v>
      </c>
      <c r="I16" s="139" t="s">
        <v>1213</v>
      </c>
      <c r="J16" s="110" t="s">
        <v>1373</v>
      </c>
      <c r="K16" s="110" t="s">
        <v>1320</v>
      </c>
      <c r="L16" s="110" t="s">
        <v>1321</v>
      </c>
      <c r="M16" s="110" t="s">
        <v>1221</v>
      </c>
      <c r="N16" s="110" t="s">
        <v>811</v>
      </c>
      <c r="O16" s="110" t="s">
        <v>1217</v>
      </c>
      <c r="P16" s="110"/>
      <c r="Q16" s="110">
        <v>4</v>
      </c>
      <c r="R16" s="114"/>
      <c r="S16" s="110">
        <v>0</v>
      </c>
      <c r="T16" s="114"/>
      <c r="U16" s="110" t="s">
        <v>1106</v>
      </c>
      <c r="V16" s="207">
        <v>51.143794749296987</v>
      </c>
      <c r="W16" s="110">
        <v>14</v>
      </c>
      <c r="X16" s="114"/>
      <c r="Y16" s="110" t="s">
        <v>894</v>
      </c>
      <c r="Z16" s="213">
        <v>10245694</v>
      </c>
      <c r="AA16" s="197" t="s">
        <v>932</v>
      </c>
    </row>
    <row r="17" spans="1:27" ht="33.75" thickBot="1">
      <c r="A17" s="192"/>
      <c r="B17" s="65"/>
      <c r="C17" s="110">
        <v>0</v>
      </c>
      <c r="D17" s="110">
        <v>0</v>
      </c>
      <c r="E17" s="110">
        <v>0</v>
      </c>
      <c r="F17" s="110">
        <v>4</v>
      </c>
      <c r="G17" s="56">
        <v>10</v>
      </c>
      <c r="H17" s="110" cm="1">
        <f t="array" ref="H17">IFERROR(SUM($C$7:$F$7*C17:F17),"")</f>
        <v>8</v>
      </c>
      <c r="I17" s="139" t="s">
        <v>1214</v>
      </c>
      <c r="J17" s="110" t="s">
        <v>1365</v>
      </c>
      <c r="K17" s="110" t="s">
        <v>1322</v>
      </c>
      <c r="L17" s="110" t="s">
        <v>1323</v>
      </c>
      <c r="M17" s="110" t="s">
        <v>1220</v>
      </c>
      <c r="N17" s="110" t="s">
        <v>811</v>
      </c>
      <c r="O17" s="110" t="s">
        <v>1217</v>
      </c>
      <c r="P17" s="110"/>
      <c r="Q17" s="110">
        <v>4</v>
      </c>
      <c r="R17" s="115"/>
      <c r="S17" s="110">
        <v>0</v>
      </c>
      <c r="T17" s="115"/>
      <c r="U17" s="110" t="s">
        <v>1106</v>
      </c>
      <c r="V17" s="207">
        <v>284.81575320633277</v>
      </c>
      <c r="W17" s="110">
        <v>12</v>
      </c>
      <c r="X17" s="115"/>
      <c r="Y17" s="110" t="s">
        <v>894</v>
      </c>
      <c r="Z17" s="213">
        <v>10632280</v>
      </c>
      <c r="AA17" s="197" t="s">
        <v>932</v>
      </c>
    </row>
    <row r="18" spans="1:27" ht="33.75" thickBot="1">
      <c r="A18" s="193">
        <v>5</v>
      </c>
      <c r="B18" s="68" t="s">
        <v>25</v>
      </c>
      <c r="C18" s="110">
        <v>1</v>
      </c>
      <c r="D18" s="110">
        <v>1</v>
      </c>
      <c r="E18" s="110">
        <v>1</v>
      </c>
      <c r="F18" s="110">
        <v>1</v>
      </c>
      <c r="G18" s="41">
        <v>11</v>
      </c>
      <c r="H18" s="110" cm="1">
        <f t="array" ref="H18">IFERROR(SUM($C$7:$F$7*C18:F18),"")</f>
        <v>8</v>
      </c>
      <c r="I18" s="139" t="s">
        <v>1214</v>
      </c>
      <c r="J18" s="110" t="s">
        <v>1373</v>
      </c>
      <c r="K18" s="110" t="s">
        <v>1324</v>
      </c>
      <c r="L18" s="110" t="s">
        <v>1325</v>
      </c>
      <c r="M18" s="110" t="s">
        <v>1220</v>
      </c>
      <c r="N18" s="110" t="s">
        <v>811</v>
      </c>
      <c r="O18" s="110" t="s">
        <v>1217</v>
      </c>
      <c r="P18" s="110"/>
      <c r="Q18" s="110">
        <v>4</v>
      </c>
      <c r="R18" s="113"/>
      <c r="S18" s="110">
        <v>0</v>
      </c>
      <c r="T18" s="113"/>
      <c r="U18" s="110" t="s">
        <v>1106</v>
      </c>
      <c r="V18" s="207">
        <v>69.758340592484586</v>
      </c>
      <c r="W18" s="110">
        <v>12</v>
      </c>
      <c r="X18" s="113"/>
      <c r="Y18" s="110" t="s">
        <v>894</v>
      </c>
      <c r="Z18" s="213">
        <v>10632281</v>
      </c>
      <c r="AA18" s="197" t="s">
        <v>932</v>
      </c>
    </row>
    <row r="19" spans="1:27" ht="33.75" thickBot="1">
      <c r="A19" s="192"/>
      <c r="B19" s="69" t="s">
        <v>26</v>
      </c>
      <c r="C19" s="110">
        <v>0</v>
      </c>
      <c r="D19" s="110">
        <v>0</v>
      </c>
      <c r="E19" s="110">
        <v>0</v>
      </c>
      <c r="F19" s="110">
        <v>1</v>
      </c>
      <c r="G19" s="41">
        <v>12</v>
      </c>
      <c r="H19" s="110" cm="1">
        <f t="array" ref="H19">IFERROR(SUM($C$7:$F$7*C19:F19),"")</f>
        <v>2</v>
      </c>
      <c r="I19" s="139" t="s">
        <v>1214</v>
      </c>
      <c r="J19" s="110" t="s">
        <v>1365</v>
      </c>
      <c r="K19" s="110" t="s">
        <v>1326</v>
      </c>
      <c r="L19" s="110" t="s">
        <v>1225</v>
      </c>
      <c r="M19" s="110" t="s">
        <v>1327</v>
      </c>
      <c r="N19" s="110" t="s">
        <v>811</v>
      </c>
      <c r="O19" s="110" t="s">
        <v>1217</v>
      </c>
      <c r="P19" s="110"/>
      <c r="Q19" s="110">
        <v>1</v>
      </c>
      <c r="R19" s="114"/>
      <c r="S19" s="110">
        <v>0</v>
      </c>
      <c r="T19" s="114"/>
      <c r="U19" s="110" t="s">
        <v>1106</v>
      </c>
      <c r="V19" s="207">
        <v>28.67167919799499</v>
      </c>
      <c r="W19" s="110">
        <v>12</v>
      </c>
      <c r="X19" s="114"/>
      <c r="Y19" s="110" t="s">
        <v>894</v>
      </c>
      <c r="Z19" s="213">
        <v>10632282</v>
      </c>
      <c r="AA19" s="197" t="s">
        <v>932</v>
      </c>
    </row>
    <row r="20" spans="1:27" ht="33.75" thickBot="1">
      <c r="A20" s="192"/>
      <c r="B20" s="68" t="s">
        <v>27</v>
      </c>
      <c r="C20" s="110">
        <v>0</v>
      </c>
      <c r="D20" s="110">
        <v>0</v>
      </c>
      <c r="E20" s="110">
        <v>0</v>
      </c>
      <c r="F20" s="110">
        <v>1</v>
      </c>
      <c r="G20" s="41">
        <v>13</v>
      </c>
      <c r="H20" s="110" cm="1">
        <f t="array" ref="H20">IFERROR(SUM($C$7:$F$7*C20:F20),"")</f>
        <v>2</v>
      </c>
      <c r="I20" s="139" t="s">
        <v>1214</v>
      </c>
      <c r="J20" s="110" t="s">
        <v>1365</v>
      </c>
      <c r="K20" s="110" t="s">
        <v>1328</v>
      </c>
      <c r="L20" s="110" t="s">
        <v>1226</v>
      </c>
      <c r="M20" s="110" t="s">
        <v>1220</v>
      </c>
      <c r="N20" s="110" t="s">
        <v>811</v>
      </c>
      <c r="O20" s="110" t="s">
        <v>1217</v>
      </c>
      <c r="P20" s="110"/>
      <c r="Q20" s="110">
        <v>1</v>
      </c>
      <c r="R20" s="114"/>
      <c r="S20" s="110">
        <v>0</v>
      </c>
      <c r="T20" s="114"/>
      <c r="U20" s="110" t="s">
        <v>1106</v>
      </c>
      <c r="V20" s="207">
        <v>373.16223603087985</v>
      </c>
      <c r="W20" s="110">
        <v>12</v>
      </c>
      <c r="X20" s="114"/>
      <c r="Y20" s="110" t="s">
        <v>894</v>
      </c>
      <c r="Z20" s="213">
        <v>10632279</v>
      </c>
      <c r="AA20" s="197" t="s">
        <v>932</v>
      </c>
    </row>
    <row r="21" spans="1:27" ht="13.5" thickBot="1">
      <c r="A21" s="192"/>
      <c r="B21" s="69" t="s">
        <v>28</v>
      </c>
      <c r="C21" s="110"/>
      <c r="D21" s="110"/>
      <c r="E21" s="110"/>
      <c r="F21" s="110"/>
      <c r="G21" s="41">
        <v>14</v>
      </c>
      <c r="H21" s="111"/>
      <c r="I21" s="139"/>
      <c r="J21" s="110"/>
      <c r="K21" s="110"/>
      <c r="L21" s="110"/>
      <c r="M21" s="110"/>
      <c r="N21" s="110"/>
      <c r="O21" s="110"/>
      <c r="P21" s="110"/>
      <c r="Q21" s="110"/>
      <c r="R21" s="114"/>
      <c r="S21" s="110"/>
      <c r="T21" s="114"/>
      <c r="U21" s="110"/>
      <c r="V21" s="110"/>
      <c r="W21" s="110"/>
      <c r="X21" s="114"/>
      <c r="Y21" s="110"/>
      <c r="Z21" s="114"/>
      <c r="AA21" s="197"/>
    </row>
    <row r="22" spans="1:27" ht="15" thickBot="1">
      <c r="A22" s="192"/>
      <c r="B22" s="68" t="s">
        <v>29</v>
      </c>
      <c r="C22" s="110"/>
      <c r="D22" s="110"/>
      <c r="E22" s="110"/>
      <c r="F22" s="110"/>
      <c r="G22" s="56">
        <v>15</v>
      </c>
      <c r="H22" s="112"/>
      <c r="I22" s="139"/>
      <c r="J22" s="110"/>
      <c r="K22" s="110"/>
      <c r="L22" s="110"/>
      <c r="M22" s="110"/>
      <c r="N22" s="110"/>
      <c r="O22" s="110"/>
      <c r="P22" s="110"/>
      <c r="Q22" s="110"/>
      <c r="R22" s="115"/>
      <c r="S22" s="110"/>
      <c r="T22" s="115"/>
      <c r="U22" s="110"/>
      <c r="V22" s="110"/>
      <c r="W22" s="110"/>
      <c r="X22" s="115"/>
      <c r="Y22" s="110"/>
      <c r="Z22" s="115"/>
      <c r="AA22" s="197"/>
    </row>
    <row r="23" spans="1:27" ht="13.5" thickBot="1">
      <c r="A23" s="192"/>
      <c r="B23" s="69" t="s">
        <v>30</v>
      </c>
      <c r="C23" s="110"/>
      <c r="D23" s="110"/>
      <c r="E23" s="110"/>
      <c r="F23" s="110"/>
      <c r="G23" s="41">
        <v>16</v>
      </c>
      <c r="H23" s="110"/>
      <c r="I23" s="139"/>
      <c r="J23" s="110"/>
      <c r="K23" s="110"/>
      <c r="L23" s="110"/>
      <c r="M23" s="110"/>
      <c r="N23" s="110"/>
      <c r="O23" s="110"/>
      <c r="P23" s="110"/>
      <c r="Q23" s="110"/>
      <c r="R23" s="113"/>
      <c r="S23" s="110"/>
      <c r="T23" s="113"/>
      <c r="U23" s="110"/>
      <c r="V23" s="110"/>
      <c r="W23" s="110"/>
      <c r="X23" s="113"/>
      <c r="Y23" s="110"/>
      <c r="Z23" s="113"/>
      <c r="AA23" s="197"/>
    </row>
    <row r="24" spans="1:27" ht="13.5" thickBot="1">
      <c r="A24" s="192"/>
      <c r="B24" s="70" t="s">
        <v>31</v>
      </c>
      <c r="C24" s="110"/>
      <c r="D24" s="110"/>
      <c r="E24" s="110"/>
      <c r="F24" s="110"/>
      <c r="G24" s="41">
        <v>17</v>
      </c>
      <c r="H24" s="111"/>
      <c r="I24" s="139"/>
      <c r="J24" s="110"/>
      <c r="K24" s="110"/>
      <c r="L24" s="110"/>
      <c r="M24" s="110"/>
      <c r="N24" s="110"/>
      <c r="O24" s="110"/>
      <c r="P24" s="110"/>
      <c r="Q24" s="110"/>
      <c r="R24" s="114"/>
      <c r="S24" s="110"/>
      <c r="T24" s="114"/>
      <c r="U24" s="110"/>
      <c r="V24" s="110"/>
      <c r="W24" s="110"/>
      <c r="X24" s="114"/>
      <c r="Y24" s="110"/>
      <c r="Z24" s="114"/>
      <c r="AA24" s="197"/>
    </row>
    <row r="25" spans="1:27" ht="13.5" thickBot="1">
      <c r="A25" s="192"/>
      <c r="B25" s="70" t="s">
        <v>32</v>
      </c>
      <c r="C25" s="110"/>
      <c r="D25" s="110"/>
      <c r="E25" s="110"/>
      <c r="F25" s="110"/>
      <c r="G25" s="41">
        <v>18</v>
      </c>
      <c r="H25" s="111"/>
      <c r="I25" s="139"/>
      <c r="J25" s="110"/>
      <c r="K25" s="110"/>
      <c r="L25" s="110"/>
      <c r="M25" s="110"/>
      <c r="N25" s="110"/>
      <c r="O25" s="110"/>
      <c r="P25" s="110"/>
      <c r="Q25" s="110"/>
      <c r="R25" s="114"/>
      <c r="S25" s="110"/>
      <c r="T25" s="114"/>
      <c r="U25" s="110"/>
      <c r="V25" s="110"/>
      <c r="W25" s="110"/>
      <c r="X25" s="114"/>
      <c r="Y25" s="110"/>
      <c r="Z25" s="114"/>
      <c r="AA25" s="197"/>
    </row>
    <row r="26" spans="1:27" ht="13.5" thickBot="1">
      <c r="A26" s="192"/>
      <c r="B26" s="70" t="s">
        <v>6</v>
      </c>
      <c r="C26" s="110"/>
      <c r="D26" s="110"/>
      <c r="E26" s="110"/>
      <c r="F26" s="110"/>
      <c r="G26" s="41">
        <v>19</v>
      </c>
      <c r="H26" s="111"/>
      <c r="I26" s="139"/>
      <c r="J26" s="110"/>
      <c r="K26" s="110"/>
      <c r="L26" s="110"/>
      <c r="M26" s="110"/>
      <c r="N26" s="110"/>
      <c r="O26" s="110"/>
      <c r="P26" s="110"/>
      <c r="Q26" s="110"/>
      <c r="R26" s="114"/>
      <c r="S26" s="110"/>
      <c r="T26" s="114"/>
      <c r="U26" s="110"/>
      <c r="V26" s="110"/>
      <c r="W26" s="110"/>
      <c r="X26" s="114"/>
      <c r="Y26" s="110"/>
      <c r="Z26" s="114"/>
      <c r="AA26" s="197"/>
    </row>
    <row r="27" spans="1:27" ht="13.5" thickBot="1">
      <c r="A27" s="192"/>
      <c r="B27" s="64"/>
      <c r="C27" s="110"/>
      <c r="D27" s="110"/>
      <c r="E27" s="110"/>
      <c r="F27" s="110"/>
      <c r="G27" s="56">
        <v>20</v>
      </c>
      <c r="H27" s="112"/>
      <c r="I27" s="139"/>
      <c r="J27" s="110"/>
      <c r="K27" s="110"/>
      <c r="L27" s="110"/>
      <c r="M27" s="110"/>
      <c r="N27" s="110"/>
      <c r="O27" s="110"/>
      <c r="P27" s="110"/>
      <c r="Q27" s="110"/>
      <c r="R27" s="115"/>
      <c r="S27" s="110"/>
      <c r="T27" s="115"/>
      <c r="U27" s="110"/>
      <c r="V27" s="110"/>
      <c r="W27" s="110"/>
      <c r="X27" s="115"/>
      <c r="Y27" s="110"/>
      <c r="Z27" s="115"/>
      <c r="AA27" s="197"/>
    </row>
    <row r="28" spans="1:27" ht="13.5" thickBot="1">
      <c r="A28" s="192"/>
      <c r="B28" s="71"/>
      <c r="C28" s="110"/>
      <c r="D28" s="110"/>
      <c r="E28" s="110"/>
      <c r="F28" s="110"/>
      <c r="G28" s="41">
        <v>21</v>
      </c>
      <c r="H28" s="110"/>
      <c r="I28" s="139"/>
      <c r="J28" s="110"/>
      <c r="K28" s="110"/>
      <c r="L28" s="110"/>
      <c r="M28" s="110"/>
      <c r="N28" s="110"/>
      <c r="O28" s="110"/>
      <c r="P28" s="110"/>
      <c r="Q28" s="110"/>
      <c r="R28" s="113"/>
      <c r="S28" s="110"/>
      <c r="T28" s="113"/>
      <c r="U28" s="110"/>
      <c r="V28" s="110"/>
      <c r="W28" s="110"/>
      <c r="X28" s="113"/>
      <c r="Y28" s="110"/>
      <c r="Z28" s="113"/>
      <c r="AA28" s="197"/>
    </row>
    <row r="29" spans="1:27" ht="13.5" thickBot="1">
      <c r="A29" s="192"/>
      <c r="B29" s="71"/>
      <c r="C29" s="110"/>
      <c r="D29" s="110"/>
      <c r="E29" s="110"/>
      <c r="F29" s="110"/>
      <c r="G29" s="41">
        <v>22</v>
      </c>
      <c r="H29" s="111"/>
      <c r="I29" s="139"/>
      <c r="J29" s="110"/>
      <c r="K29" s="110"/>
      <c r="L29" s="110"/>
      <c r="M29" s="110"/>
      <c r="N29" s="110"/>
      <c r="O29" s="110"/>
      <c r="P29" s="110"/>
      <c r="Q29" s="110"/>
      <c r="R29" s="114"/>
      <c r="S29" s="110"/>
      <c r="T29" s="114"/>
      <c r="U29" s="110"/>
      <c r="V29" s="110"/>
      <c r="W29" s="110"/>
      <c r="X29" s="114"/>
      <c r="Y29" s="110"/>
      <c r="Z29" s="114"/>
      <c r="AA29" s="197"/>
    </row>
    <row r="30" spans="1:27" ht="13.5" thickBot="1">
      <c r="A30" s="192"/>
      <c r="B30" s="71"/>
      <c r="C30" s="110"/>
      <c r="D30" s="110"/>
      <c r="E30" s="110"/>
      <c r="F30" s="110"/>
      <c r="G30" s="41">
        <v>23</v>
      </c>
      <c r="H30" s="111"/>
      <c r="I30" s="139"/>
      <c r="J30" s="110"/>
      <c r="K30" s="110"/>
      <c r="L30" s="110"/>
      <c r="M30" s="110"/>
      <c r="N30" s="110"/>
      <c r="O30" s="110"/>
      <c r="P30" s="110"/>
      <c r="Q30" s="110"/>
      <c r="R30" s="114"/>
      <c r="S30" s="110"/>
      <c r="T30" s="114"/>
      <c r="U30" s="110"/>
      <c r="V30" s="110"/>
      <c r="W30" s="110"/>
      <c r="X30" s="114"/>
      <c r="Y30" s="110"/>
      <c r="Z30" s="114"/>
      <c r="AA30" s="197"/>
    </row>
    <row r="31" spans="1:27" ht="13.5" thickBot="1">
      <c r="A31" s="192"/>
      <c r="B31" s="71"/>
      <c r="C31" s="110"/>
      <c r="D31" s="110"/>
      <c r="E31" s="110"/>
      <c r="F31" s="110"/>
      <c r="G31" s="56">
        <v>24</v>
      </c>
      <c r="H31" s="112"/>
      <c r="I31" s="139"/>
      <c r="J31" s="110"/>
      <c r="K31" s="110"/>
      <c r="L31" s="110"/>
      <c r="M31" s="110"/>
      <c r="N31" s="110"/>
      <c r="O31" s="110"/>
      <c r="P31" s="110"/>
      <c r="Q31" s="110"/>
      <c r="R31" s="116"/>
      <c r="S31" s="110"/>
      <c r="T31" s="116"/>
      <c r="U31" s="110"/>
      <c r="V31" s="110"/>
      <c r="W31" s="110"/>
      <c r="X31" s="115"/>
      <c r="Y31" s="110"/>
      <c r="Z31" s="115"/>
      <c r="AA31" s="197"/>
    </row>
    <row r="32" spans="1:27" ht="22.9" customHeight="1" thickBot="1">
      <c r="A32" s="184" t="s">
        <v>6</v>
      </c>
      <c r="B32" s="27" t="s">
        <v>6</v>
      </c>
      <c r="C32" s="230" t="s">
        <v>1368</v>
      </c>
      <c r="D32" s="230" t="s">
        <v>1369</v>
      </c>
      <c r="E32" s="230" t="s">
        <v>1370</v>
      </c>
      <c r="F32" s="230" t="s">
        <v>1371</v>
      </c>
      <c r="G32" s="276"/>
      <c r="H32" s="232"/>
      <c r="I32" s="28" t="s">
        <v>33</v>
      </c>
      <c r="J32" s="130" t="s">
        <v>1229</v>
      </c>
      <c r="K32" s="222" t="s">
        <v>51</v>
      </c>
      <c r="L32" s="223"/>
      <c r="M32" s="223"/>
      <c r="N32" s="223"/>
      <c r="O32" s="224"/>
      <c r="P32" s="240" t="s">
        <v>1125</v>
      </c>
      <c r="Q32" s="241"/>
      <c r="R32" s="241"/>
      <c r="S32" s="241"/>
      <c r="T32" s="241"/>
      <c r="U32" s="241"/>
      <c r="V32" s="242"/>
      <c r="W32" s="29" t="s">
        <v>34</v>
      </c>
      <c r="X32" s="30"/>
      <c r="Y32" s="217" t="s">
        <v>1383</v>
      </c>
      <c r="Z32" s="218"/>
      <c r="AA32" s="219"/>
    </row>
    <row r="33" spans="1:27" ht="17.100000000000001" customHeight="1" thickTop="1" thickBot="1">
      <c r="A33" s="185"/>
      <c r="B33" s="43" t="s">
        <v>35</v>
      </c>
      <c r="C33" s="230"/>
      <c r="D33" s="230"/>
      <c r="E33" s="230"/>
      <c r="F33" s="230"/>
      <c r="G33" s="277"/>
      <c r="H33" s="233"/>
      <c r="I33" s="32" t="s">
        <v>36</v>
      </c>
      <c r="J33" s="130" t="s">
        <v>1230</v>
      </c>
      <c r="K33" s="142" t="s">
        <v>1231</v>
      </c>
      <c r="L33" s="225" t="s">
        <v>1232</v>
      </c>
      <c r="M33" s="225"/>
      <c r="N33" s="142" t="s">
        <v>1233</v>
      </c>
      <c r="O33" s="142" t="s">
        <v>1234</v>
      </c>
      <c r="P33" s="243"/>
      <c r="Q33" s="244"/>
      <c r="R33" s="244"/>
      <c r="S33" s="244"/>
      <c r="T33" s="244"/>
      <c r="U33" s="244"/>
      <c r="V33" s="245"/>
      <c r="W33" s="33" t="s">
        <v>37</v>
      </c>
      <c r="X33" s="34"/>
      <c r="Y33" s="217">
        <v>45888</v>
      </c>
      <c r="Z33" s="218"/>
      <c r="AA33" s="219"/>
    </row>
    <row r="34" spans="1:27" ht="17.100000000000001" customHeight="1" thickTop="1" thickBot="1">
      <c r="A34" s="185">
        <v>6</v>
      </c>
      <c r="B34" s="31" t="s">
        <v>49</v>
      </c>
      <c r="C34" s="230"/>
      <c r="D34" s="230"/>
      <c r="E34" s="230"/>
      <c r="F34" s="230"/>
      <c r="G34" s="277"/>
      <c r="H34" s="233"/>
      <c r="I34" s="35" t="s">
        <v>38</v>
      </c>
      <c r="J34" s="122"/>
      <c r="K34" s="142" t="s">
        <v>1235</v>
      </c>
      <c r="L34" s="225" t="s">
        <v>1236</v>
      </c>
      <c r="M34" s="225"/>
      <c r="N34" s="142" t="s">
        <v>1237</v>
      </c>
      <c r="O34" s="142" t="s">
        <v>1238</v>
      </c>
      <c r="P34" s="243"/>
      <c r="Q34" s="244"/>
      <c r="R34" s="244"/>
      <c r="S34" s="244"/>
      <c r="T34" s="244"/>
      <c r="U34" s="244"/>
      <c r="V34" s="245"/>
      <c r="W34" s="33" t="s">
        <v>39</v>
      </c>
      <c r="X34" s="34"/>
      <c r="Y34" s="274"/>
      <c r="Z34" s="274"/>
      <c r="AA34" s="275"/>
    </row>
    <row r="35" spans="1:27" ht="17.100000000000001" customHeight="1">
      <c r="A35" s="185"/>
      <c r="B35" s="42" t="s">
        <v>48</v>
      </c>
      <c r="C35" s="230"/>
      <c r="D35" s="230"/>
      <c r="E35" s="230"/>
      <c r="F35" s="230"/>
      <c r="G35" s="277"/>
      <c r="H35" s="233"/>
      <c r="I35" s="36" t="s">
        <v>40</v>
      </c>
      <c r="J35" s="37"/>
      <c r="K35" s="142" t="s">
        <v>1239</v>
      </c>
      <c r="L35" s="142" t="s">
        <v>1240</v>
      </c>
      <c r="M35" s="142"/>
      <c r="N35" s="142" t="s">
        <v>1241</v>
      </c>
      <c r="O35" s="142" t="s">
        <v>1242</v>
      </c>
      <c r="P35" s="243"/>
      <c r="Q35" s="244"/>
      <c r="R35" s="244"/>
      <c r="S35" s="244"/>
      <c r="T35" s="244"/>
      <c r="U35" s="244"/>
      <c r="V35" s="245"/>
      <c r="W35" s="38" t="s">
        <v>41</v>
      </c>
      <c r="X35" s="39"/>
      <c r="Y35" s="205">
        <v>8</v>
      </c>
      <c r="Z35" s="39" t="s">
        <v>31</v>
      </c>
      <c r="AA35" s="206">
        <v>9</v>
      </c>
    </row>
    <row r="36" spans="1:27" ht="17.100000000000001" customHeight="1" thickBot="1">
      <c r="A36" s="186"/>
      <c r="B36" s="196" t="s">
        <v>42</v>
      </c>
      <c r="C36" s="231"/>
      <c r="D36" s="231"/>
      <c r="E36" s="231"/>
      <c r="F36" s="231"/>
      <c r="G36" s="278"/>
      <c r="H36" s="234"/>
      <c r="I36" s="180" t="s">
        <v>43</v>
      </c>
      <c r="J36" s="181"/>
      <c r="K36" s="148" t="s">
        <v>1243</v>
      </c>
      <c r="L36" s="148" t="s">
        <v>1244</v>
      </c>
      <c r="M36" s="148" t="s">
        <v>1245</v>
      </c>
      <c r="N36" s="148" t="s">
        <v>1246</v>
      </c>
      <c r="O36" s="148" t="s">
        <v>1247</v>
      </c>
      <c r="P36" s="246"/>
      <c r="Q36" s="247"/>
      <c r="R36" s="247"/>
      <c r="S36" s="247"/>
      <c r="T36" s="247"/>
      <c r="U36" s="247"/>
      <c r="V36" s="248"/>
      <c r="W36" s="182" t="s">
        <v>44</v>
      </c>
      <c r="X36" s="183"/>
      <c r="Y36" s="220">
        <v>2316054</v>
      </c>
      <c r="Z36" s="220"/>
      <c r="AA36" s="221"/>
    </row>
    <row r="37" spans="1:27" ht="17.100000000000001" customHeight="1"/>
  </sheetData>
  <sheetProtection algorithmName="SHA-512" hashValue="58T07tr9pI9XuHmhytY4iw+YKTm7kKk10MTXy7clAU1bLJNjQGDBgu0ScOjd/7r+rZyJDHC2ty4Ug4zz1XdwAg==" saltValue="I5+8BmAJ9/6f/uO2ZtpyzQ==" spinCount="100000" sheet="1" scenarios="1" formatCells="0" formatColumns="0" formatRows="0"/>
  <mergeCells count="35">
    <mergeCell ref="B1:B3"/>
    <mergeCell ref="C1:C3"/>
    <mergeCell ref="D1:D3"/>
    <mergeCell ref="E1:E3"/>
    <mergeCell ref="F1:F3"/>
    <mergeCell ref="W4:AA4"/>
    <mergeCell ref="U5:AA5"/>
    <mergeCell ref="U1:X1"/>
    <mergeCell ref="Y1:AA1"/>
    <mergeCell ref="G2:L4"/>
    <mergeCell ref="U2:W2"/>
    <mergeCell ref="X2:AA2"/>
    <mergeCell ref="U3:X3"/>
    <mergeCell ref="Y3:AA3"/>
    <mergeCell ref="G1:L1"/>
    <mergeCell ref="B4:B5"/>
    <mergeCell ref="C4:C5"/>
    <mergeCell ref="D4:D5"/>
    <mergeCell ref="E4:E5"/>
    <mergeCell ref="F4:F5"/>
    <mergeCell ref="Y36:AA36"/>
    <mergeCell ref="U7:V7"/>
    <mergeCell ref="C32:C36"/>
    <mergeCell ref="D32:D36"/>
    <mergeCell ref="E32:E36"/>
    <mergeCell ref="F32:F36"/>
    <mergeCell ref="G32:G36"/>
    <mergeCell ref="H32:H36"/>
    <mergeCell ref="K32:O32"/>
    <mergeCell ref="P32:V36"/>
    <mergeCell ref="Y32:AA32"/>
    <mergeCell ref="L33:M33"/>
    <mergeCell ref="Y33:AA33"/>
    <mergeCell ref="L34:M34"/>
    <mergeCell ref="Y34:AA34"/>
  </mergeCells>
  <dataValidations count="3">
    <dataValidation type="decimal" showInputMessage="1" showErrorMessage="1" sqref="Q8:T31" xr:uid="{A84B7287-A33A-4379-A325-84B8C77F5806}">
      <formula1>0</formula1>
      <formula2>9999999</formula2>
    </dataValidation>
    <dataValidation showInputMessage="1" showErrorMessage="1" sqref="M8:M31" xr:uid="{00BD0185-2358-4A80-8358-29FDF1212EFA}"/>
    <dataValidation type="decimal" operator="greaterThan" showInputMessage="1" showErrorMessage="1" sqref="V8:V31" xr:uid="{AD0C926A-AD36-4C73-AB34-BC03E51733D1}">
      <formula1>0</formula1>
    </dataValidation>
  </dataValidations>
  <printOptions horizontalCentered="1"/>
  <pageMargins left="0" right="0" top="0.25" bottom="0.25" header="0" footer="0"/>
  <pageSetup paperSize="8" scale="86"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Line="0" autoPict="0">
                <anchor moveWithCells="1" sizeWithCells="1">
                  <from>
                    <xdr:col>0</xdr:col>
                    <xdr:colOff>0</xdr:colOff>
                    <xdr:row>31</xdr:row>
                    <xdr:rowOff>57150</xdr:rowOff>
                  </from>
                  <to>
                    <xdr:col>0</xdr:col>
                    <xdr:colOff>0</xdr:colOff>
                    <xdr:row>36</xdr:row>
                    <xdr:rowOff>104775</xdr:rowOff>
                  </to>
                </anchor>
              </controlPr>
            </control>
          </mc:Choice>
        </mc:AlternateContent>
        <mc:AlternateContent xmlns:mc="http://schemas.openxmlformats.org/markup-compatibility/2006">
          <mc:Choice Requires="x14">
            <control shapeId="11266" r:id="rId5" name="Check Box 2">
              <controlPr locked="0" defaultSize="0" autoFill="0" autoLine="0" autoPict="0">
                <anchor moveWithCells="1">
                  <from>
                    <xdr:col>7</xdr:col>
                    <xdr:colOff>247650</xdr:colOff>
                    <xdr:row>0</xdr:row>
                    <xdr:rowOff>209550</xdr:rowOff>
                  </from>
                  <to>
                    <xdr:col>8</xdr:col>
                    <xdr:colOff>1619250</xdr:colOff>
                    <xdr:row>0</xdr:row>
                    <xdr:rowOff>342900</xdr:rowOff>
                  </to>
                </anchor>
              </controlPr>
            </control>
          </mc:Choice>
        </mc:AlternateContent>
        <mc:AlternateContent xmlns:mc="http://schemas.openxmlformats.org/markup-compatibility/2006">
          <mc:Choice Requires="x14">
            <control shapeId="11267" r:id="rId6" name="Check Box 3">
              <controlPr locked="0" defaultSize="0" autoFill="0" autoLine="0" autoPict="0">
                <anchor moveWithCells="1">
                  <from>
                    <xdr:col>7</xdr:col>
                    <xdr:colOff>247650</xdr:colOff>
                    <xdr:row>0</xdr:row>
                    <xdr:rowOff>361950</xdr:rowOff>
                  </from>
                  <to>
                    <xdr:col>8</xdr:col>
                    <xdr:colOff>1409700</xdr:colOff>
                    <xdr:row>1</xdr:row>
                    <xdr:rowOff>19050</xdr:rowOff>
                  </to>
                </anchor>
              </controlPr>
            </control>
          </mc:Choice>
        </mc:AlternateContent>
        <mc:AlternateContent xmlns:mc="http://schemas.openxmlformats.org/markup-compatibility/2006">
          <mc:Choice Requires="x14">
            <control shapeId="11268" r:id="rId7" name="Check Box 4">
              <controlPr locked="0" defaultSize="0" autoFill="0" autoLine="0" autoPict="0">
                <anchor moveWithCells="1">
                  <from>
                    <xdr:col>9</xdr:col>
                    <xdr:colOff>38100</xdr:colOff>
                    <xdr:row>0</xdr:row>
                    <xdr:rowOff>180975</xdr:rowOff>
                  </from>
                  <to>
                    <xdr:col>9</xdr:col>
                    <xdr:colOff>1200150</xdr:colOff>
                    <xdr:row>0</xdr:row>
                    <xdr:rowOff>361950</xdr:rowOff>
                  </to>
                </anchor>
              </controlPr>
            </control>
          </mc:Choice>
        </mc:AlternateContent>
        <mc:AlternateContent xmlns:mc="http://schemas.openxmlformats.org/markup-compatibility/2006">
          <mc:Choice Requires="x14">
            <control shapeId="11269" r:id="rId8" name="Check Box 5">
              <controlPr locked="0" defaultSize="0" autoFill="0" autoLine="0" autoPict="0">
                <anchor moveWithCells="1">
                  <from>
                    <xdr:col>9</xdr:col>
                    <xdr:colOff>38100</xdr:colOff>
                    <xdr:row>0</xdr:row>
                    <xdr:rowOff>361950</xdr:rowOff>
                  </from>
                  <to>
                    <xdr:col>9</xdr:col>
                    <xdr:colOff>1428750</xdr:colOff>
                    <xdr:row>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867CD17C-56DF-4087-ADF6-FEE65F59709E}">
          <x14:formula1>
            <xm:f>'Validation Lists'!$P$2:$P$62</xm:f>
          </x14:formula1>
          <xm:sqref>N8</xm:sqref>
        </x14:dataValidation>
        <x14:dataValidation type="list" operator="greaterThan" showDropDown="1" showInputMessage="1" showErrorMessage="1" xr:uid="{15308510-AA16-408B-8E01-0E6992AD4316}">
          <x14:formula1>
            <xm:f>'Validation Lists'!$E$2:$E$501</xm:f>
          </x14:formula1>
          <xm:sqref>W8:W31</xm:sqref>
        </x14:dataValidation>
        <x14:dataValidation type="list" showInputMessage="1" showErrorMessage="1" xr:uid="{21EF823C-4AEA-4951-B1D4-938A10B54369}">
          <x14:formula1>
            <xm:f>'Validation Lists'!$G$2:$G$189</xm:f>
          </x14:formula1>
          <xm:sqref>U8:U31</xm:sqref>
        </x14:dataValidation>
        <x14:dataValidation type="list" showInputMessage="1" showErrorMessage="1" xr:uid="{628BB542-0951-4310-8301-EEC5F28EF18A}">
          <x14:formula1>
            <xm:f>'Validation Lists'!$P$2:$P$35</xm:f>
          </x14:formula1>
          <xm:sqref>N9:N31</xm:sqref>
        </x14:dataValidation>
        <x14:dataValidation type="list" allowBlank="1" showInputMessage="1" showErrorMessage="1" xr:uid="{CC16683A-BDED-435B-AFCD-D173D93DC835}">
          <x14:formula1>
            <xm:f>'Validation Lists'!$C$2:$C$6</xm:f>
          </x14:formula1>
          <xm:sqref>AA8:AA31</xm:sqref>
        </x14:dataValidation>
        <x14:dataValidation type="list" showInputMessage="1" showErrorMessage="1" xr:uid="{58A4886F-3264-49BE-9D17-DFD0D64C57D0}">
          <x14:formula1>
            <xm:f>'Validation Lists'!$J$3:$J$50</xm:f>
          </x14:formula1>
          <xm:sqref>Y8:Y31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C7C-C9C8-41D1-8F63-00E16ED6EFB9}">
  <sheetPr codeName="Sheet10"/>
  <dimension ref="A1:AB37"/>
  <sheetViews>
    <sheetView showGridLines="0" view="pageBreakPreview" zoomScale="70" zoomScaleNormal="85" zoomScaleSheetLayoutView="70" workbookViewId="0">
      <selection activeCell="X19" sqref="X19"/>
    </sheetView>
  </sheetViews>
  <sheetFormatPr defaultRowHeight="12.75"/>
  <cols>
    <col min="1" max="1" width="1.7109375" customWidth="1"/>
    <col min="2" max="2" width="3.7109375" customWidth="1"/>
    <col min="3" max="7" width="2.7109375" customWidth="1"/>
    <col min="8" max="8" width="3.7109375" customWidth="1"/>
    <col min="9" max="9" width="25.7109375" customWidth="1"/>
    <col min="10" max="10" width="24.28515625" customWidth="1"/>
    <col min="11" max="11" width="8.7109375" customWidth="1"/>
    <col min="12" max="12" width="12.28515625" customWidth="1"/>
    <col min="13" max="13" width="8.7109375" customWidth="1"/>
    <col min="14" max="14" width="25.7109375" customWidth="1"/>
    <col min="15" max="15" width="16.28515625" customWidth="1"/>
    <col min="16" max="16" width="18.42578125" customWidth="1"/>
    <col min="17" max="19" width="3.7109375" customWidth="1"/>
    <col min="20" max="20" width="3.5703125" customWidth="1"/>
    <col min="21" max="21" width="4.5703125" customWidth="1"/>
    <col min="22" max="22" width="6.7109375" bestFit="1" customWidth="1"/>
    <col min="23" max="23" width="3.7109375" customWidth="1"/>
    <col min="24" max="24" width="4.7109375" customWidth="1"/>
    <col min="25" max="25" width="17.42578125" customWidth="1"/>
    <col min="26" max="26" width="12.7109375" customWidth="1"/>
    <col min="27" max="27" width="5.7109375" customWidth="1"/>
    <col min="28" max="28" width="10" hidden="1" customWidth="1"/>
  </cols>
  <sheetData>
    <row r="1" spans="1:28" ht="45.75" customHeight="1" thickBot="1">
      <c r="A1" s="184"/>
      <c r="B1" s="279" t="s">
        <v>493</v>
      </c>
      <c r="C1" s="252" t="s">
        <v>1384</v>
      </c>
      <c r="D1" s="252"/>
      <c r="E1" s="252"/>
      <c r="F1" s="252"/>
      <c r="G1" s="260" t="s">
        <v>55</v>
      </c>
      <c r="H1" s="261"/>
      <c r="I1" s="261"/>
      <c r="J1" s="261"/>
      <c r="K1" s="261"/>
      <c r="L1" s="262"/>
      <c r="M1" s="156" t="s">
        <v>54</v>
      </c>
      <c r="N1" s="157"/>
      <c r="O1" s="158"/>
      <c r="P1" s="158"/>
      <c r="Q1" s="158"/>
      <c r="R1" s="158"/>
      <c r="S1" s="158"/>
      <c r="T1" s="159"/>
      <c r="U1" s="258" t="s">
        <v>53</v>
      </c>
      <c r="V1" s="259"/>
      <c r="W1" s="259"/>
      <c r="X1" s="259"/>
      <c r="Y1" s="263" t="s">
        <v>1227</v>
      </c>
      <c r="Z1" s="263"/>
      <c r="AA1" s="264"/>
    </row>
    <row r="2" spans="1:28" ht="15.6" customHeight="1" thickBot="1">
      <c r="A2" s="185">
        <v>1</v>
      </c>
      <c r="B2" s="281"/>
      <c r="C2" s="253"/>
      <c r="D2" s="253"/>
      <c r="E2" s="253"/>
      <c r="F2" s="253"/>
      <c r="G2" s="265" t="s">
        <v>734</v>
      </c>
      <c r="H2" s="266"/>
      <c r="I2" s="266"/>
      <c r="J2" s="266"/>
      <c r="K2" s="266"/>
      <c r="L2" s="267"/>
      <c r="M2" s="3" t="s">
        <v>0</v>
      </c>
      <c r="N2" s="117"/>
      <c r="O2" s="82" t="s">
        <v>47</v>
      </c>
      <c r="P2" s="82"/>
      <c r="Q2" s="4"/>
      <c r="R2" s="4"/>
      <c r="S2" s="4"/>
      <c r="T2" s="5"/>
      <c r="U2" s="256" t="s">
        <v>1</v>
      </c>
      <c r="V2" s="257"/>
      <c r="W2" s="257"/>
      <c r="X2" s="263" t="s">
        <v>1228</v>
      </c>
      <c r="Y2" s="263"/>
      <c r="Z2" s="263"/>
      <c r="AA2" s="264"/>
      <c r="AB2" s="62" t="b">
        <v>0</v>
      </c>
    </row>
    <row r="3" spans="1:28" ht="22.5" customHeight="1" thickBot="1">
      <c r="A3" s="186"/>
      <c r="B3" s="280"/>
      <c r="C3" s="253"/>
      <c r="D3" s="253"/>
      <c r="E3" s="253"/>
      <c r="F3" s="253"/>
      <c r="G3" s="268"/>
      <c r="H3" s="269"/>
      <c r="I3" s="269"/>
      <c r="J3" s="269"/>
      <c r="K3" s="269"/>
      <c r="L3" s="270"/>
      <c r="M3" s="7" t="s">
        <v>2</v>
      </c>
      <c r="N3" s="118"/>
      <c r="O3" s="118"/>
      <c r="P3" s="118"/>
      <c r="Q3" s="118"/>
      <c r="R3" s="118"/>
      <c r="S3" s="118"/>
      <c r="T3" s="119"/>
      <c r="U3" s="254" t="s">
        <v>3</v>
      </c>
      <c r="V3" s="255"/>
      <c r="W3" s="255"/>
      <c r="X3" s="255"/>
      <c r="Y3" s="263" t="s">
        <v>1217</v>
      </c>
      <c r="Z3" s="263"/>
      <c r="AA3" s="264"/>
      <c r="AB3" s="62" t="b">
        <v>1</v>
      </c>
    </row>
    <row r="4" spans="1:28" ht="41.65" customHeight="1" thickBot="1">
      <c r="A4" s="184"/>
      <c r="B4" s="279" t="s">
        <v>494</v>
      </c>
      <c r="C4" s="253" t="s">
        <v>1374</v>
      </c>
      <c r="D4" s="253"/>
      <c r="E4" s="253"/>
      <c r="F4" s="253"/>
      <c r="G4" s="271"/>
      <c r="H4" s="272"/>
      <c r="I4" s="272"/>
      <c r="J4" s="272"/>
      <c r="K4" s="272"/>
      <c r="L4" s="273"/>
      <c r="M4" s="9" t="s">
        <v>4</v>
      </c>
      <c r="N4" s="120"/>
      <c r="O4" s="120"/>
      <c r="P4" s="120"/>
      <c r="Q4" s="120"/>
      <c r="R4" s="120"/>
      <c r="S4" s="120"/>
      <c r="T4" s="121"/>
      <c r="U4" s="143" t="s">
        <v>5</v>
      </c>
      <c r="V4" s="124"/>
      <c r="W4" s="263" t="s">
        <v>1217</v>
      </c>
      <c r="X4" s="263"/>
      <c r="Y4" s="263"/>
      <c r="Z4" s="263"/>
      <c r="AA4" s="264"/>
      <c r="AB4" s="62" t="b">
        <v>0</v>
      </c>
    </row>
    <row r="5" spans="1:28" ht="27" customHeight="1" thickBot="1">
      <c r="A5" s="187">
        <v>2</v>
      </c>
      <c r="B5" s="280"/>
      <c r="C5" s="253"/>
      <c r="D5" s="253"/>
      <c r="E5" s="253"/>
      <c r="F5" s="253"/>
      <c r="G5" s="11"/>
      <c r="H5" s="12" t="s">
        <v>6</v>
      </c>
      <c r="I5" s="13" t="s">
        <v>7</v>
      </c>
      <c r="J5" s="14"/>
      <c r="K5" s="14"/>
      <c r="L5" s="14"/>
      <c r="M5" s="14"/>
      <c r="N5" s="14"/>
      <c r="O5" s="15"/>
      <c r="P5" s="85"/>
      <c r="Q5" s="16" t="s">
        <v>8</v>
      </c>
      <c r="R5" s="17"/>
      <c r="S5" s="18" t="s">
        <v>9</v>
      </c>
      <c r="T5" s="19"/>
      <c r="U5" s="235" t="s">
        <v>50</v>
      </c>
      <c r="V5" s="236"/>
      <c r="W5" s="236"/>
      <c r="X5" s="236"/>
      <c r="Y5" s="236"/>
      <c r="Z5" s="236"/>
      <c r="AA5" s="237"/>
      <c r="AB5" s="62" t="b">
        <v>0</v>
      </c>
    </row>
    <row r="6" spans="1:28" ht="43.15" customHeight="1" thickBot="1">
      <c r="A6" s="188">
        <v>3</v>
      </c>
      <c r="B6" s="83" t="s">
        <v>10</v>
      </c>
      <c r="C6" s="135" t="s">
        <v>1375</v>
      </c>
      <c r="D6" s="135"/>
      <c r="E6" s="135"/>
      <c r="F6" s="135"/>
      <c r="G6" s="21" t="s">
        <v>11</v>
      </c>
      <c r="H6" s="123" t="s">
        <v>12</v>
      </c>
      <c r="I6" s="45" t="s">
        <v>13</v>
      </c>
      <c r="J6" s="22" t="s">
        <v>14</v>
      </c>
      <c r="K6" s="76" t="s">
        <v>15</v>
      </c>
      <c r="L6" s="75" t="s">
        <v>16</v>
      </c>
      <c r="M6" s="77" t="s">
        <v>732</v>
      </c>
      <c r="N6" s="77" t="s">
        <v>733</v>
      </c>
      <c r="O6" s="75" t="s">
        <v>838</v>
      </c>
      <c r="P6" s="75" t="s">
        <v>839</v>
      </c>
      <c r="Q6" s="78" t="s">
        <v>17</v>
      </c>
      <c r="R6" s="79" t="s">
        <v>18</v>
      </c>
      <c r="S6" s="78" t="s">
        <v>17</v>
      </c>
      <c r="T6" s="79" t="s">
        <v>19</v>
      </c>
      <c r="U6" s="80" t="s">
        <v>841</v>
      </c>
      <c r="V6" s="80" t="s">
        <v>840</v>
      </c>
      <c r="W6" s="80" t="s">
        <v>20</v>
      </c>
      <c r="X6" s="81" t="s">
        <v>52</v>
      </c>
      <c r="Y6" s="80" t="s">
        <v>21</v>
      </c>
      <c r="Z6" s="23" t="s">
        <v>45</v>
      </c>
      <c r="AA6" s="161" t="s">
        <v>46</v>
      </c>
    </row>
    <row r="7" spans="1:28" ht="13.15" customHeight="1" thickBot="1">
      <c r="A7" s="189">
        <v>4</v>
      </c>
      <c r="B7" s="84" t="s">
        <v>22</v>
      </c>
      <c r="C7" s="136">
        <v>2</v>
      </c>
      <c r="D7" s="137"/>
      <c r="E7" s="137"/>
      <c r="F7" s="137"/>
      <c r="G7" s="24"/>
      <c r="H7" s="44">
        <v>7</v>
      </c>
      <c r="I7" s="44">
        <v>8</v>
      </c>
      <c r="J7" s="25">
        <v>9</v>
      </c>
      <c r="K7" s="44" t="s">
        <v>23</v>
      </c>
      <c r="L7" s="25" t="s">
        <v>24</v>
      </c>
      <c r="M7" s="44" t="s">
        <v>730</v>
      </c>
      <c r="N7" s="44" t="s">
        <v>731</v>
      </c>
      <c r="O7" s="44" t="s">
        <v>836</v>
      </c>
      <c r="P7" s="98" t="s">
        <v>837</v>
      </c>
      <c r="Q7" s="44">
        <v>13</v>
      </c>
      <c r="R7" s="26">
        <v>14</v>
      </c>
      <c r="S7" s="44">
        <v>15</v>
      </c>
      <c r="T7" s="26">
        <v>16</v>
      </c>
      <c r="U7" s="238">
        <v>17</v>
      </c>
      <c r="V7" s="239"/>
      <c r="W7" s="44">
        <v>18</v>
      </c>
      <c r="X7" s="26">
        <v>19</v>
      </c>
      <c r="Y7" s="44">
        <v>20</v>
      </c>
      <c r="Z7" s="26">
        <v>21</v>
      </c>
      <c r="AA7" s="163">
        <v>22</v>
      </c>
    </row>
    <row r="8" spans="1:28" ht="37.9" customHeight="1" thickBot="1">
      <c r="A8" s="190"/>
      <c r="B8" s="63"/>
      <c r="C8" s="110">
        <v>1</v>
      </c>
      <c r="D8" s="110"/>
      <c r="E8" s="110"/>
      <c r="F8" s="110"/>
      <c r="G8" s="41">
        <v>1</v>
      </c>
      <c r="H8" s="110" cm="1">
        <f t="array" ref="H8">IFERROR(SUM($C$7:$F$7*C8:F8),"")</f>
        <v>2</v>
      </c>
      <c r="I8" s="139" t="s">
        <v>1205</v>
      </c>
      <c r="J8" s="110" t="s">
        <v>1376</v>
      </c>
      <c r="K8" s="110" t="s">
        <v>1377</v>
      </c>
      <c r="L8" s="110" t="s">
        <v>1218</v>
      </c>
      <c r="M8" s="110" t="s">
        <v>1219</v>
      </c>
      <c r="N8" s="110" t="s">
        <v>811</v>
      </c>
      <c r="O8" s="110" t="s">
        <v>1217</v>
      </c>
      <c r="P8" s="110"/>
      <c r="Q8" s="110">
        <v>1</v>
      </c>
      <c r="R8" s="113"/>
      <c r="S8" s="110">
        <v>0</v>
      </c>
      <c r="T8" s="113"/>
      <c r="U8" s="110" t="s">
        <v>1106</v>
      </c>
      <c r="V8" s="207">
        <v>50820.729934985524</v>
      </c>
      <c r="W8" s="110">
        <v>22</v>
      </c>
      <c r="X8" s="113"/>
      <c r="Y8" s="110" t="s">
        <v>894</v>
      </c>
      <c r="Z8" s="212">
        <v>80012203</v>
      </c>
      <c r="AA8" s="197" t="s">
        <v>932</v>
      </c>
    </row>
    <row r="9" spans="1:28" ht="33.75" thickBot="1">
      <c r="A9" s="192"/>
      <c r="B9" s="64"/>
      <c r="C9" s="110">
        <v>2</v>
      </c>
      <c r="D9" s="110"/>
      <c r="E9" s="110"/>
      <c r="F9" s="110"/>
      <c r="G9" s="41">
        <v>2</v>
      </c>
      <c r="H9" s="110" cm="1">
        <f t="array" ref="H9">IFERROR(SUM($C$7:$F$7*C9:F9),"")</f>
        <v>4</v>
      </c>
      <c r="I9" s="139" t="s">
        <v>1382</v>
      </c>
      <c r="J9" s="110" t="s">
        <v>1376</v>
      </c>
      <c r="K9" s="110" t="s">
        <v>1266</v>
      </c>
      <c r="L9" s="110" t="s">
        <v>1267</v>
      </c>
      <c r="M9" s="110" t="s">
        <v>1220</v>
      </c>
      <c r="N9" s="110" t="s">
        <v>811</v>
      </c>
      <c r="O9" s="110" t="s">
        <v>1217</v>
      </c>
      <c r="P9" s="110"/>
      <c r="Q9" s="110">
        <v>2</v>
      </c>
      <c r="R9" s="114"/>
      <c r="S9" s="110">
        <v>0</v>
      </c>
      <c r="T9" s="114"/>
      <c r="U9" s="110" t="s">
        <v>1106</v>
      </c>
      <c r="V9" s="207">
        <v>2511.0626288293192</v>
      </c>
      <c r="W9" s="110">
        <v>16</v>
      </c>
      <c r="X9" s="114"/>
      <c r="Y9" s="110" t="s">
        <v>894</v>
      </c>
      <c r="Z9" s="213">
        <v>10049151</v>
      </c>
      <c r="AA9" s="197" t="s">
        <v>932</v>
      </c>
    </row>
    <row r="10" spans="1:28" ht="33.75" thickBot="1">
      <c r="A10" s="192"/>
      <c r="B10" s="65"/>
      <c r="C10" s="110">
        <v>1</v>
      </c>
      <c r="D10" s="110"/>
      <c r="E10" s="110"/>
      <c r="F10" s="110"/>
      <c r="G10" s="41">
        <v>3</v>
      </c>
      <c r="H10" s="110" cm="1">
        <f t="array" ref="H10">IFERROR(SUM($C$7:$F$7*C10:F10),"")</f>
        <v>2</v>
      </c>
      <c r="I10" s="139" t="s">
        <v>1206</v>
      </c>
      <c r="J10" s="110" t="s">
        <v>1376</v>
      </c>
      <c r="K10" s="110" t="s">
        <v>1283</v>
      </c>
      <c r="L10" s="110" t="s">
        <v>1284</v>
      </c>
      <c r="M10" s="110" t="s">
        <v>1221</v>
      </c>
      <c r="N10" s="110" t="s">
        <v>811</v>
      </c>
      <c r="O10" s="110" t="s">
        <v>1217</v>
      </c>
      <c r="P10" s="110"/>
      <c r="Q10" s="110">
        <v>1</v>
      </c>
      <c r="R10" s="114"/>
      <c r="S10" s="110">
        <v>0</v>
      </c>
      <c r="T10" s="114"/>
      <c r="U10" s="110" t="s">
        <v>1106</v>
      </c>
      <c r="V10" s="207">
        <v>2976.0830279643828</v>
      </c>
      <c r="W10" s="110">
        <v>18</v>
      </c>
      <c r="X10" s="114"/>
      <c r="Y10" s="110" t="s">
        <v>894</v>
      </c>
      <c r="Z10" s="213">
        <v>10632269</v>
      </c>
      <c r="AA10" s="197" t="s">
        <v>932</v>
      </c>
    </row>
    <row r="11" spans="1:28" ht="33.75" thickBot="1">
      <c r="A11" s="192"/>
      <c r="B11" s="65"/>
      <c r="C11" s="110">
        <v>1</v>
      </c>
      <c r="D11" s="110"/>
      <c r="E11" s="110"/>
      <c r="F11" s="110"/>
      <c r="G11" s="41">
        <v>4</v>
      </c>
      <c r="H11" s="110" cm="1">
        <f t="array" ref="H11">IFERROR(SUM($C$7:$F$7*C11:F11),"")</f>
        <v>2</v>
      </c>
      <c r="I11" s="139" t="s">
        <v>1257</v>
      </c>
      <c r="J11" s="110" t="s">
        <v>1376</v>
      </c>
      <c r="K11" s="110" t="s">
        <v>1289</v>
      </c>
      <c r="L11" s="110" t="s">
        <v>1290</v>
      </c>
      <c r="M11" s="110" t="s">
        <v>1280</v>
      </c>
      <c r="N11" s="110" t="s">
        <v>811</v>
      </c>
      <c r="O11" s="110" t="s">
        <v>1217</v>
      </c>
      <c r="P11" s="110"/>
      <c r="Q11" s="110">
        <v>1</v>
      </c>
      <c r="R11" s="115"/>
      <c r="S11" s="110">
        <v>0</v>
      </c>
      <c r="T11" s="115"/>
      <c r="U11" s="110" t="s">
        <v>1106</v>
      </c>
      <c r="V11" s="207">
        <v>1660.8661426990102</v>
      </c>
      <c r="W11" s="110">
        <v>14</v>
      </c>
      <c r="X11" s="115"/>
      <c r="Y11" s="110" t="s">
        <v>894</v>
      </c>
      <c r="Z11" s="213">
        <v>10632291</v>
      </c>
      <c r="AA11" s="197" t="s">
        <v>932</v>
      </c>
    </row>
    <row r="12" spans="1:28" ht="33.75" thickBot="1">
      <c r="A12" s="192"/>
      <c r="B12" s="65"/>
      <c r="C12" s="110">
        <v>1</v>
      </c>
      <c r="D12" s="110"/>
      <c r="E12" s="110"/>
      <c r="F12" s="110"/>
      <c r="G12" s="56">
        <v>5</v>
      </c>
      <c r="H12" s="110" cm="1">
        <f t="array" ref="H12">IFERROR(SUM($C$7:$F$7*C12:F12),"")</f>
        <v>2</v>
      </c>
      <c r="I12" s="139" t="s">
        <v>1258</v>
      </c>
      <c r="J12" s="110" t="s">
        <v>1376</v>
      </c>
      <c r="K12" s="110" t="s">
        <v>1291</v>
      </c>
      <c r="L12" s="110" t="s">
        <v>1292</v>
      </c>
      <c r="M12" s="110" t="s">
        <v>1220</v>
      </c>
      <c r="N12" s="110" t="s">
        <v>811</v>
      </c>
      <c r="O12" s="110" t="s">
        <v>1217</v>
      </c>
      <c r="P12" s="110"/>
      <c r="Q12" s="110">
        <v>1</v>
      </c>
      <c r="R12" s="115"/>
      <c r="S12" s="110">
        <v>0</v>
      </c>
      <c r="T12" s="115"/>
      <c r="U12" s="110" t="s">
        <v>1106</v>
      </c>
      <c r="V12" s="207">
        <v>10318.86802965338</v>
      </c>
      <c r="W12" s="110">
        <v>18</v>
      </c>
      <c r="X12" s="115"/>
      <c r="Y12" s="110" t="s">
        <v>894</v>
      </c>
      <c r="Z12" s="213">
        <v>10632271</v>
      </c>
      <c r="AA12" s="197" t="s">
        <v>932</v>
      </c>
    </row>
    <row r="13" spans="1:28" ht="33.75" thickBot="1">
      <c r="A13" s="192"/>
      <c r="B13" s="65"/>
      <c r="C13" s="110">
        <v>1</v>
      </c>
      <c r="D13" s="110"/>
      <c r="E13" s="110"/>
      <c r="F13" s="110"/>
      <c r="G13" s="41">
        <v>6</v>
      </c>
      <c r="H13" s="110" cm="1">
        <f t="array" ref="H13">IFERROR(SUM($C$7:$F$7*C13:F13),"")</f>
        <v>2</v>
      </c>
      <c r="I13" s="139" t="s">
        <v>1208</v>
      </c>
      <c r="J13" s="110" t="s">
        <v>1376</v>
      </c>
      <c r="K13" s="110" t="s">
        <v>1305</v>
      </c>
      <c r="L13" s="110" t="s">
        <v>1222</v>
      </c>
      <c r="M13" s="110" t="s">
        <v>1221</v>
      </c>
      <c r="N13" s="110" t="s">
        <v>811</v>
      </c>
      <c r="O13" s="110" t="s">
        <v>1217</v>
      </c>
      <c r="P13" s="110"/>
      <c r="Q13" s="110">
        <v>1</v>
      </c>
      <c r="R13" s="113"/>
      <c r="S13" s="110">
        <v>0</v>
      </c>
      <c r="T13" s="113"/>
      <c r="U13" s="110" t="s">
        <v>1106</v>
      </c>
      <c r="V13" s="207">
        <v>383.64446964754012</v>
      </c>
      <c r="W13" s="110">
        <v>14</v>
      </c>
      <c r="X13" s="113"/>
      <c r="Y13" s="110" t="s">
        <v>894</v>
      </c>
      <c r="Z13" s="213">
        <v>10632287</v>
      </c>
      <c r="AA13" s="197" t="s">
        <v>932</v>
      </c>
    </row>
    <row r="14" spans="1:28" ht="33.75" thickBot="1">
      <c r="A14" s="192"/>
      <c r="B14" s="65"/>
      <c r="C14" s="110">
        <v>1</v>
      </c>
      <c r="D14" s="110"/>
      <c r="E14" s="110"/>
      <c r="F14" s="110"/>
      <c r="G14" s="41">
        <v>7</v>
      </c>
      <c r="H14" s="110" cm="1">
        <f t="array" ref="H14">IFERROR(SUM($C$7:$F$7*C14:F14),"")</f>
        <v>2</v>
      </c>
      <c r="I14" s="139" t="s">
        <v>1209</v>
      </c>
      <c r="J14" s="110" t="s">
        <v>1376</v>
      </c>
      <c r="K14" s="110" t="s">
        <v>1215</v>
      </c>
      <c r="L14" s="110" t="s">
        <v>1306</v>
      </c>
      <c r="M14" s="110" t="s">
        <v>1221</v>
      </c>
      <c r="N14" s="110" t="s">
        <v>811</v>
      </c>
      <c r="O14" s="110" t="s">
        <v>1217</v>
      </c>
      <c r="P14" s="110"/>
      <c r="Q14" s="110">
        <v>1</v>
      </c>
      <c r="R14" s="114"/>
      <c r="S14" s="110">
        <v>0</v>
      </c>
      <c r="T14" s="114"/>
      <c r="U14" s="110" t="s">
        <v>1106</v>
      </c>
      <c r="V14" s="207">
        <v>2557.5593880206002</v>
      </c>
      <c r="W14" s="110">
        <v>10</v>
      </c>
      <c r="X14" s="114"/>
      <c r="Y14" s="110" t="s">
        <v>894</v>
      </c>
      <c r="Z14" s="213">
        <v>10245681</v>
      </c>
      <c r="AA14" s="197" t="s">
        <v>932</v>
      </c>
    </row>
    <row r="15" spans="1:28" ht="33.75" thickBot="1">
      <c r="A15" s="192"/>
      <c r="B15" s="66" t="s">
        <v>6</v>
      </c>
      <c r="C15" s="110">
        <v>1</v>
      </c>
      <c r="D15" s="110"/>
      <c r="E15" s="110"/>
      <c r="F15" s="110"/>
      <c r="G15" s="41">
        <v>8</v>
      </c>
      <c r="H15" s="110" cm="1">
        <f t="array" ref="H15">IFERROR(SUM($C$7:$F$7*C15:F15),"")</f>
        <v>2</v>
      </c>
      <c r="I15" s="139" t="s">
        <v>1300</v>
      </c>
      <c r="J15" s="110" t="s">
        <v>1376</v>
      </c>
      <c r="K15" s="110" t="s">
        <v>1307</v>
      </c>
      <c r="L15" s="110" t="s">
        <v>1308</v>
      </c>
      <c r="M15" s="110" t="s">
        <v>1220</v>
      </c>
      <c r="N15" s="110" t="s">
        <v>811</v>
      </c>
      <c r="O15" s="110" t="s">
        <v>1217</v>
      </c>
      <c r="P15" s="110"/>
      <c r="Q15" s="110">
        <v>1</v>
      </c>
      <c r="R15" s="114"/>
      <c r="S15" s="110">
        <v>0</v>
      </c>
      <c r="T15" s="114"/>
      <c r="U15" s="110" t="s">
        <v>1106</v>
      </c>
      <c r="V15" s="207">
        <v>380.83542188805353</v>
      </c>
      <c r="W15" s="110">
        <v>14</v>
      </c>
      <c r="X15" s="114"/>
      <c r="Y15" s="110" t="s">
        <v>894</v>
      </c>
      <c r="Z15" s="213">
        <v>10632283</v>
      </c>
      <c r="AA15" s="197" t="s">
        <v>932</v>
      </c>
    </row>
    <row r="16" spans="1:28" ht="33.75" thickBot="1">
      <c r="A16" s="192"/>
      <c r="B16" s="67" t="s">
        <v>6</v>
      </c>
      <c r="C16" s="110">
        <v>1</v>
      </c>
      <c r="D16" s="110"/>
      <c r="E16" s="110"/>
      <c r="F16" s="110"/>
      <c r="G16" s="41">
        <v>9</v>
      </c>
      <c r="H16" s="110" cm="1">
        <f t="array" ref="H16">IFERROR(SUM($C$7:$F$7*C16:F16),"")</f>
        <v>2</v>
      </c>
      <c r="I16" s="139" t="s">
        <v>1300</v>
      </c>
      <c r="J16" s="110" t="s">
        <v>1376</v>
      </c>
      <c r="K16" s="110" t="s">
        <v>1309</v>
      </c>
      <c r="L16" s="110" t="s">
        <v>1310</v>
      </c>
      <c r="M16" s="110" t="s">
        <v>1220</v>
      </c>
      <c r="N16" s="110" t="s">
        <v>811</v>
      </c>
      <c r="O16" s="110" t="s">
        <v>1217</v>
      </c>
      <c r="P16" s="110"/>
      <c r="Q16" s="110">
        <v>1</v>
      </c>
      <c r="R16" s="114"/>
      <c r="S16" s="110">
        <v>0</v>
      </c>
      <c r="T16" s="114"/>
      <c r="U16" s="110" t="s">
        <v>1106</v>
      </c>
      <c r="V16" s="207">
        <v>535.55555555555554</v>
      </c>
      <c r="W16" s="110">
        <v>14</v>
      </c>
      <c r="X16" s="114"/>
      <c r="Y16" s="110" t="s">
        <v>894</v>
      </c>
      <c r="Z16" s="213">
        <v>10632284</v>
      </c>
      <c r="AA16" s="197" t="s">
        <v>932</v>
      </c>
    </row>
    <row r="17" spans="1:27" ht="33.75" thickBot="1">
      <c r="A17" s="192"/>
      <c r="B17" s="65"/>
      <c r="C17" s="110">
        <v>1</v>
      </c>
      <c r="D17" s="110"/>
      <c r="E17" s="110"/>
      <c r="F17" s="110"/>
      <c r="G17" s="56">
        <v>10</v>
      </c>
      <c r="H17" s="110" cm="1">
        <f t="array" ref="H17">IFERROR(SUM($C$7:$F$7*C17:F17),"")</f>
        <v>2</v>
      </c>
      <c r="I17" s="139" t="s">
        <v>1210</v>
      </c>
      <c r="J17" s="110" t="s">
        <v>1376</v>
      </c>
      <c r="K17" s="110" t="s">
        <v>1216</v>
      </c>
      <c r="L17" s="110" t="s">
        <v>1311</v>
      </c>
      <c r="M17" s="110" t="s">
        <v>1221</v>
      </c>
      <c r="N17" s="110" t="s">
        <v>811</v>
      </c>
      <c r="O17" s="110" t="s">
        <v>1217</v>
      </c>
      <c r="P17" s="110"/>
      <c r="Q17" s="110">
        <v>1</v>
      </c>
      <c r="R17" s="115"/>
      <c r="S17" s="110">
        <v>0</v>
      </c>
      <c r="T17" s="115"/>
      <c r="U17" s="110" t="s">
        <v>1106</v>
      </c>
      <c r="V17" s="207">
        <v>264.32748538011697</v>
      </c>
      <c r="W17" s="110">
        <v>12</v>
      </c>
      <c r="X17" s="115"/>
      <c r="Y17" s="110" t="s">
        <v>894</v>
      </c>
      <c r="Z17" s="213">
        <v>10617318</v>
      </c>
      <c r="AA17" s="197" t="s">
        <v>932</v>
      </c>
    </row>
    <row r="18" spans="1:27" ht="33.75" thickBot="1">
      <c r="A18" s="193">
        <v>5</v>
      </c>
      <c r="B18" s="68" t="s">
        <v>25</v>
      </c>
      <c r="C18" s="110">
        <v>1</v>
      </c>
      <c r="D18" s="110"/>
      <c r="E18" s="110"/>
      <c r="F18" s="110"/>
      <c r="G18" s="41">
        <v>11</v>
      </c>
      <c r="H18" s="110" cm="1">
        <f t="array" ref="H18">IFERROR(SUM($C$7:$F$7*C18:F18),"")</f>
        <v>2</v>
      </c>
      <c r="I18" s="139" t="s">
        <v>1211</v>
      </c>
      <c r="J18" s="110" t="s">
        <v>1376</v>
      </c>
      <c r="K18" s="110" t="s">
        <v>1313</v>
      </c>
      <c r="L18" s="110" t="s">
        <v>1223</v>
      </c>
      <c r="M18" s="110" t="s">
        <v>1224</v>
      </c>
      <c r="N18" s="110" t="s">
        <v>811</v>
      </c>
      <c r="O18" s="110" t="s">
        <v>1217</v>
      </c>
      <c r="P18" s="110"/>
      <c r="Q18" s="110">
        <v>1</v>
      </c>
      <c r="R18" s="113"/>
      <c r="S18" s="110">
        <v>0</v>
      </c>
      <c r="T18" s="113"/>
      <c r="U18" s="110" t="s">
        <v>1106</v>
      </c>
      <c r="V18" s="207">
        <v>3711.8803594803248</v>
      </c>
      <c r="W18" s="110">
        <v>18</v>
      </c>
      <c r="X18" s="113"/>
      <c r="Y18" s="110" t="s">
        <v>894</v>
      </c>
      <c r="Z18" s="213">
        <v>10632273</v>
      </c>
      <c r="AA18" s="197" t="s">
        <v>932</v>
      </c>
    </row>
    <row r="19" spans="1:27" ht="33.75" thickBot="1">
      <c r="A19" s="192"/>
      <c r="B19" s="69" t="s">
        <v>26</v>
      </c>
      <c r="C19" s="110">
        <v>1</v>
      </c>
      <c r="D19" s="110"/>
      <c r="E19" s="110"/>
      <c r="F19" s="110"/>
      <c r="G19" s="41">
        <v>12</v>
      </c>
      <c r="H19" s="110" cm="1">
        <f t="array" ref="H19">IFERROR(SUM($C$7:$F$7*C19:F19),"")</f>
        <v>2</v>
      </c>
      <c r="I19" s="139" t="s">
        <v>1212</v>
      </c>
      <c r="J19" s="110" t="s">
        <v>1376</v>
      </c>
      <c r="K19" s="110" t="s">
        <v>1318</v>
      </c>
      <c r="L19" s="110" t="s">
        <v>1319</v>
      </c>
      <c r="M19" s="110" t="s">
        <v>1220</v>
      </c>
      <c r="N19" s="110" t="s">
        <v>811</v>
      </c>
      <c r="O19" s="110" t="s">
        <v>1217</v>
      </c>
      <c r="P19" s="110"/>
      <c r="Q19" s="110">
        <v>1</v>
      </c>
      <c r="R19" s="114"/>
      <c r="S19" s="110">
        <v>0</v>
      </c>
      <c r="T19" s="114"/>
      <c r="U19" s="110" t="s">
        <v>1106</v>
      </c>
      <c r="V19" s="207">
        <v>251.09834179959435</v>
      </c>
      <c r="W19" s="110">
        <v>14</v>
      </c>
      <c r="X19" s="114"/>
      <c r="Y19" s="110" t="s">
        <v>894</v>
      </c>
      <c r="Z19" s="213">
        <v>10632270</v>
      </c>
      <c r="AA19" s="197" t="s">
        <v>932</v>
      </c>
    </row>
    <row r="20" spans="1:27" ht="33.75" thickBot="1">
      <c r="A20" s="192"/>
      <c r="B20" s="68" t="s">
        <v>27</v>
      </c>
      <c r="C20" s="110">
        <v>1</v>
      </c>
      <c r="D20" s="110"/>
      <c r="E20" s="110"/>
      <c r="F20" s="110"/>
      <c r="G20" s="41">
        <v>13</v>
      </c>
      <c r="H20" s="110" cm="1">
        <f t="array" ref="H20">IFERROR(SUM($C$7:$F$7*C20:F20),"")</f>
        <v>2</v>
      </c>
      <c r="I20" s="139" t="s">
        <v>1213</v>
      </c>
      <c r="J20" s="110" t="s">
        <v>1376</v>
      </c>
      <c r="K20" s="110" t="s">
        <v>1320</v>
      </c>
      <c r="L20" s="110" t="s">
        <v>1321</v>
      </c>
      <c r="M20" s="110" t="s">
        <v>1221</v>
      </c>
      <c r="N20" s="110" t="s">
        <v>811</v>
      </c>
      <c r="O20" s="110" t="s">
        <v>1217</v>
      </c>
      <c r="P20" s="110"/>
      <c r="Q20" s="110">
        <v>1</v>
      </c>
      <c r="R20" s="114"/>
      <c r="S20" s="110">
        <v>0</v>
      </c>
      <c r="T20" s="114"/>
      <c r="U20" s="110" t="s">
        <v>1106</v>
      </c>
      <c r="V20" s="207">
        <v>51.143794749296987</v>
      </c>
      <c r="W20" s="110">
        <v>14</v>
      </c>
      <c r="X20" s="114"/>
      <c r="Y20" s="110" t="s">
        <v>894</v>
      </c>
      <c r="Z20" s="213">
        <v>10245694</v>
      </c>
      <c r="AA20" s="197" t="s">
        <v>932</v>
      </c>
    </row>
    <row r="21" spans="1:27" ht="33.75" thickBot="1">
      <c r="A21" s="192"/>
      <c r="B21" s="69" t="s">
        <v>28</v>
      </c>
      <c r="C21" s="110">
        <v>1</v>
      </c>
      <c r="D21" s="110"/>
      <c r="E21" s="110"/>
      <c r="F21" s="110"/>
      <c r="G21" s="41">
        <v>14</v>
      </c>
      <c r="H21" s="110" cm="1">
        <f t="array" ref="H21">IFERROR(SUM($C$7:$F$7*C21:F21),"")</f>
        <v>2</v>
      </c>
      <c r="I21" s="139" t="s">
        <v>1214</v>
      </c>
      <c r="J21" s="110" t="s">
        <v>1376</v>
      </c>
      <c r="K21" s="110" t="s">
        <v>1324</v>
      </c>
      <c r="L21" s="110" t="s">
        <v>1325</v>
      </c>
      <c r="M21" s="110" t="s">
        <v>1220</v>
      </c>
      <c r="N21" s="110" t="s">
        <v>811</v>
      </c>
      <c r="O21" s="110" t="s">
        <v>1217</v>
      </c>
      <c r="P21" s="110"/>
      <c r="Q21" s="110">
        <v>1</v>
      </c>
      <c r="R21" s="114"/>
      <c r="S21" s="110">
        <v>0</v>
      </c>
      <c r="T21" s="114"/>
      <c r="U21" s="110" t="s">
        <v>1106</v>
      </c>
      <c r="V21" s="207">
        <v>69.758340592484586</v>
      </c>
      <c r="W21" s="110">
        <v>12</v>
      </c>
      <c r="X21" s="114"/>
      <c r="Y21" s="110" t="s">
        <v>894</v>
      </c>
      <c r="Z21" s="213">
        <v>10632281</v>
      </c>
      <c r="AA21" s="197" t="s">
        <v>932</v>
      </c>
    </row>
    <row r="22" spans="1:27" ht="15" thickBot="1">
      <c r="A22" s="192"/>
      <c r="B22" s="68" t="s">
        <v>29</v>
      </c>
      <c r="C22" s="110"/>
      <c r="D22" s="110"/>
      <c r="E22" s="110"/>
      <c r="F22" s="110"/>
      <c r="G22" s="56">
        <v>15</v>
      </c>
      <c r="H22" s="112"/>
      <c r="I22" s="139"/>
      <c r="J22" s="110"/>
      <c r="K22" s="110"/>
      <c r="L22" s="110"/>
      <c r="M22" s="110"/>
      <c r="N22" s="110"/>
      <c r="O22" s="110"/>
      <c r="P22" s="110"/>
      <c r="Q22" s="110"/>
      <c r="R22" s="115"/>
      <c r="S22" s="110"/>
      <c r="T22" s="115"/>
      <c r="U22" s="110"/>
      <c r="V22" s="110"/>
      <c r="W22" s="110"/>
      <c r="X22" s="115"/>
      <c r="Y22" s="110"/>
      <c r="Z22" s="115"/>
      <c r="AA22" s="197"/>
    </row>
    <row r="23" spans="1:27" ht="13.5" thickBot="1">
      <c r="A23" s="192"/>
      <c r="B23" s="69" t="s">
        <v>30</v>
      </c>
      <c r="C23" s="110"/>
      <c r="D23" s="110"/>
      <c r="E23" s="110"/>
      <c r="F23" s="110"/>
      <c r="G23" s="41">
        <v>16</v>
      </c>
      <c r="H23" s="110"/>
      <c r="I23" s="139"/>
      <c r="J23" s="139"/>
      <c r="K23" s="139"/>
      <c r="L23" s="139"/>
      <c r="M23" s="139"/>
      <c r="N23" s="139"/>
      <c r="O23" s="139"/>
      <c r="P23" s="139"/>
      <c r="Q23" s="139"/>
      <c r="R23" s="113"/>
      <c r="S23" s="110"/>
      <c r="T23" s="113"/>
      <c r="U23" s="110"/>
      <c r="V23" s="110"/>
      <c r="W23" s="110"/>
      <c r="X23" s="113"/>
      <c r="Y23" s="110"/>
      <c r="Z23" s="113"/>
      <c r="AA23" s="197"/>
    </row>
    <row r="24" spans="1:27" ht="13.5" thickBot="1">
      <c r="A24" s="192"/>
      <c r="B24" s="70" t="s">
        <v>31</v>
      </c>
      <c r="C24" s="110"/>
      <c r="D24" s="110"/>
      <c r="E24" s="110"/>
      <c r="F24" s="110"/>
      <c r="G24" s="41">
        <v>17</v>
      </c>
      <c r="H24" s="111"/>
      <c r="I24" s="139"/>
      <c r="J24" s="139"/>
      <c r="K24" s="139"/>
      <c r="L24" s="139"/>
      <c r="M24" s="139"/>
      <c r="N24" s="139"/>
      <c r="O24" s="139"/>
      <c r="P24" s="139"/>
      <c r="Q24" s="139"/>
      <c r="R24" s="114"/>
      <c r="S24" s="110"/>
      <c r="T24" s="114"/>
      <c r="U24" s="110"/>
      <c r="V24" s="110"/>
      <c r="W24" s="110"/>
      <c r="X24" s="114"/>
      <c r="Y24" s="110"/>
      <c r="Z24" s="114"/>
      <c r="AA24" s="197"/>
    </row>
    <row r="25" spans="1:27" ht="13.5" thickBot="1">
      <c r="A25" s="192"/>
      <c r="B25" s="70" t="s">
        <v>32</v>
      </c>
      <c r="C25" s="110"/>
      <c r="D25" s="110"/>
      <c r="E25" s="110"/>
      <c r="F25" s="110"/>
      <c r="G25" s="41">
        <v>18</v>
      </c>
      <c r="H25" s="111"/>
      <c r="I25" s="139"/>
      <c r="J25" s="139"/>
      <c r="K25" s="139"/>
      <c r="L25" s="139"/>
      <c r="M25" s="139"/>
      <c r="N25" s="139"/>
      <c r="O25" s="139"/>
      <c r="P25" s="139"/>
      <c r="Q25" s="139"/>
      <c r="R25" s="114"/>
      <c r="S25" s="110"/>
      <c r="T25" s="114"/>
      <c r="U25" s="110"/>
      <c r="V25" s="110"/>
      <c r="W25" s="110"/>
      <c r="X25" s="114"/>
      <c r="Y25" s="110"/>
      <c r="Z25" s="114"/>
      <c r="AA25" s="197"/>
    </row>
    <row r="26" spans="1:27" ht="13.5" thickBot="1">
      <c r="A26" s="192"/>
      <c r="B26" s="70" t="s">
        <v>6</v>
      </c>
      <c r="C26" s="110"/>
      <c r="D26" s="110"/>
      <c r="E26" s="110"/>
      <c r="F26" s="110"/>
      <c r="G26" s="41">
        <v>19</v>
      </c>
      <c r="H26" s="111"/>
      <c r="I26" s="139"/>
      <c r="J26" s="139"/>
      <c r="K26" s="139"/>
      <c r="L26" s="139"/>
      <c r="M26" s="139"/>
      <c r="N26" s="139"/>
      <c r="O26" s="139"/>
      <c r="P26" s="139"/>
      <c r="Q26" s="139"/>
      <c r="R26" s="114"/>
      <c r="S26" s="110"/>
      <c r="T26" s="114"/>
      <c r="U26" s="110"/>
      <c r="V26" s="110"/>
      <c r="W26" s="110"/>
      <c r="X26" s="114"/>
      <c r="Y26" s="110"/>
      <c r="Z26" s="114"/>
      <c r="AA26" s="197"/>
    </row>
    <row r="27" spans="1:27" ht="13.5" thickBot="1">
      <c r="A27" s="192"/>
      <c r="B27" s="64"/>
      <c r="C27" s="110"/>
      <c r="D27" s="110"/>
      <c r="E27" s="110"/>
      <c r="F27" s="110"/>
      <c r="G27" s="56">
        <v>20</v>
      </c>
      <c r="H27" s="112"/>
      <c r="I27" s="139"/>
      <c r="J27" s="139"/>
      <c r="K27" s="139"/>
      <c r="L27" s="139"/>
      <c r="M27" s="139"/>
      <c r="N27" s="139"/>
      <c r="O27" s="139"/>
      <c r="P27" s="139"/>
      <c r="Q27" s="139"/>
      <c r="R27" s="115"/>
      <c r="S27" s="110"/>
      <c r="T27" s="115"/>
      <c r="U27" s="110"/>
      <c r="V27" s="110"/>
      <c r="W27" s="110"/>
      <c r="X27" s="115"/>
      <c r="Y27" s="110"/>
      <c r="Z27" s="115"/>
      <c r="AA27" s="197"/>
    </row>
    <row r="28" spans="1:27" ht="13.5" thickBot="1">
      <c r="A28" s="192"/>
      <c r="B28" s="71"/>
      <c r="C28" s="110"/>
      <c r="D28" s="110"/>
      <c r="E28" s="110"/>
      <c r="F28" s="110"/>
      <c r="G28" s="41">
        <v>21</v>
      </c>
      <c r="H28" s="110"/>
      <c r="I28" s="139"/>
      <c r="J28" s="139"/>
      <c r="K28" s="139"/>
      <c r="L28" s="139"/>
      <c r="M28" s="139"/>
      <c r="N28" s="139"/>
      <c r="O28" s="139"/>
      <c r="P28" s="139"/>
      <c r="Q28" s="139"/>
      <c r="R28" s="113"/>
      <c r="S28" s="110"/>
      <c r="T28" s="113"/>
      <c r="U28" s="110"/>
      <c r="V28" s="110"/>
      <c r="W28" s="110"/>
      <c r="X28" s="113"/>
      <c r="Y28" s="110"/>
      <c r="Z28" s="113"/>
      <c r="AA28" s="197"/>
    </row>
    <row r="29" spans="1:27" ht="13.5" thickBot="1">
      <c r="A29" s="192"/>
      <c r="B29" s="71"/>
      <c r="C29" s="110"/>
      <c r="D29" s="110"/>
      <c r="E29" s="110"/>
      <c r="F29" s="110"/>
      <c r="G29" s="41">
        <v>22</v>
      </c>
      <c r="H29" s="111"/>
      <c r="I29" s="139"/>
      <c r="J29" s="139"/>
      <c r="K29" s="139"/>
      <c r="L29" s="139"/>
      <c r="M29" s="139"/>
      <c r="N29" s="139"/>
      <c r="O29" s="139"/>
      <c r="P29" s="139"/>
      <c r="Q29" s="139"/>
      <c r="R29" s="114"/>
      <c r="S29" s="110"/>
      <c r="T29" s="114"/>
      <c r="U29" s="110"/>
      <c r="V29" s="110"/>
      <c r="W29" s="110"/>
      <c r="X29" s="114"/>
      <c r="Y29" s="110"/>
      <c r="Z29" s="114"/>
      <c r="AA29" s="197"/>
    </row>
    <row r="30" spans="1:27" ht="13.5" thickBot="1">
      <c r="A30" s="192"/>
      <c r="B30" s="71"/>
      <c r="C30" s="110"/>
      <c r="D30" s="110"/>
      <c r="E30" s="110"/>
      <c r="F30" s="110"/>
      <c r="G30" s="41">
        <v>23</v>
      </c>
      <c r="H30" s="111"/>
      <c r="I30" s="139"/>
      <c r="J30" s="110"/>
      <c r="K30" s="110"/>
      <c r="L30" s="110"/>
      <c r="M30" s="110"/>
      <c r="N30" s="110"/>
      <c r="O30" s="110"/>
      <c r="P30" s="110"/>
      <c r="Q30" s="110"/>
      <c r="R30" s="114"/>
      <c r="S30" s="110"/>
      <c r="T30" s="114"/>
      <c r="U30" s="110"/>
      <c r="V30" s="110"/>
      <c r="W30" s="110"/>
      <c r="X30" s="114"/>
      <c r="Y30" s="110"/>
      <c r="Z30" s="114"/>
      <c r="AA30" s="197"/>
    </row>
    <row r="31" spans="1:27" ht="13.5" thickBot="1">
      <c r="A31" s="192"/>
      <c r="B31" s="71"/>
      <c r="C31" s="110"/>
      <c r="D31" s="110"/>
      <c r="E31" s="110"/>
      <c r="F31" s="110"/>
      <c r="G31" s="56">
        <v>24</v>
      </c>
      <c r="H31" s="112"/>
      <c r="I31" s="139"/>
      <c r="J31" s="110"/>
      <c r="K31" s="110"/>
      <c r="L31" s="110"/>
      <c r="M31" s="110"/>
      <c r="N31" s="110"/>
      <c r="O31" s="110"/>
      <c r="P31" s="110"/>
      <c r="Q31" s="110"/>
      <c r="R31" s="116"/>
      <c r="S31" s="110"/>
      <c r="T31" s="116"/>
      <c r="U31" s="110"/>
      <c r="V31" s="110"/>
      <c r="W31" s="110"/>
      <c r="X31" s="115"/>
      <c r="Y31" s="110"/>
      <c r="Z31" s="115"/>
      <c r="AA31" s="197"/>
    </row>
    <row r="32" spans="1:27" ht="22.9" customHeight="1" thickBot="1">
      <c r="A32" s="184" t="s">
        <v>6</v>
      </c>
      <c r="B32" s="27" t="s">
        <v>6</v>
      </c>
      <c r="C32" s="230" t="s">
        <v>1378</v>
      </c>
      <c r="D32" s="230"/>
      <c r="E32" s="230"/>
      <c r="F32" s="230"/>
      <c r="G32" s="276"/>
      <c r="H32" s="232"/>
      <c r="I32" s="28" t="s">
        <v>33</v>
      </c>
      <c r="J32" s="130" t="s">
        <v>1229</v>
      </c>
      <c r="K32" s="222" t="s">
        <v>51</v>
      </c>
      <c r="L32" s="223"/>
      <c r="M32" s="223"/>
      <c r="N32" s="223"/>
      <c r="O32" s="224"/>
      <c r="P32" s="240" t="s">
        <v>1125</v>
      </c>
      <c r="Q32" s="241"/>
      <c r="R32" s="241"/>
      <c r="S32" s="241"/>
      <c r="T32" s="241"/>
      <c r="U32" s="241"/>
      <c r="V32" s="242"/>
      <c r="W32" s="29" t="s">
        <v>34</v>
      </c>
      <c r="X32" s="30"/>
      <c r="Y32" s="217" t="s">
        <v>1383</v>
      </c>
      <c r="Z32" s="218"/>
      <c r="AA32" s="219"/>
    </row>
    <row r="33" spans="1:27" ht="17.100000000000001" customHeight="1" thickTop="1" thickBot="1">
      <c r="A33" s="185"/>
      <c r="B33" s="43" t="s">
        <v>35</v>
      </c>
      <c r="C33" s="230"/>
      <c r="D33" s="230"/>
      <c r="E33" s="230"/>
      <c r="F33" s="230"/>
      <c r="G33" s="277"/>
      <c r="H33" s="233"/>
      <c r="I33" s="32" t="s">
        <v>36</v>
      </c>
      <c r="J33" s="130" t="s">
        <v>1230</v>
      </c>
      <c r="K33" s="142" t="s">
        <v>1231</v>
      </c>
      <c r="L33" s="225" t="s">
        <v>1232</v>
      </c>
      <c r="M33" s="225"/>
      <c r="N33" s="142" t="s">
        <v>1233</v>
      </c>
      <c r="O33" s="142" t="s">
        <v>1234</v>
      </c>
      <c r="P33" s="243"/>
      <c r="Q33" s="244"/>
      <c r="R33" s="244"/>
      <c r="S33" s="244"/>
      <c r="T33" s="244"/>
      <c r="U33" s="244"/>
      <c r="V33" s="245"/>
      <c r="W33" s="33" t="s">
        <v>37</v>
      </c>
      <c r="X33" s="34"/>
      <c r="Y33" s="217">
        <v>45888</v>
      </c>
      <c r="Z33" s="218"/>
      <c r="AA33" s="219"/>
    </row>
    <row r="34" spans="1:27" ht="17.100000000000001" customHeight="1" thickTop="1" thickBot="1">
      <c r="A34" s="185">
        <v>6</v>
      </c>
      <c r="B34" s="31" t="s">
        <v>49</v>
      </c>
      <c r="C34" s="230"/>
      <c r="D34" s="230"/>
      <c r="E34" s="230"/>
      <c r="F34" s="230"/>
      <c r="G34" s="277"/>
      <c r="H34" s="233"/>
      <c r="I34" s="35" t="s">
        <v>38</v>
      </c>
      <c r="J34" s="130" t="s">
        <v>1379</v>
      </c>
      <c r="K34" s="142" t="s">
        <v>1235</v>
      </c>
      <c r="L34" s="225" t="s">
        <v>1236</v>
      </c>
      <c r="M34" s="225"/>
      <c r="N34" s="142" t="s">
        <v>1237</v>
      </c>
      <c r="O34" s="142" t="s">
        <v>1238</v>
      </c>
      <c r="P34" s="243"/>
      <c r="Q34" s="244"/>
      <c r="R34" s="244"/>
      <c r="S34" s="244"/>
      <c r="T34" s="244"/>
      <c r="U34" s="244"/>
      <c r="V34" s="245"/>
      <c r="W34" s="33" t="s">
        <v>39</v>
      </c>
      <c r="X34" s="34"/>
      <c r="Y34" s="274"/>
      <c r="Z34" s="274"/>
      <c r="AA34" s="275"/>
    </row>
    <row r="35" spans="1:27" ht="17.100000000000001" customHeight="1">
      <c r="A35" s="185"/>
      <c r="B35" s="42" t="s">
        <v>48</v>
      </c>
      <c r="C35" s="230"/>
      <c r="D35" s="230"/>
      <c r="E35" s="230"/>
      <c r="F35" s="230"/>
      <c r="G35" s="277"/>
      <c r="H35" s="233"/>
      <c r="I35" s="36" t="s">
        <v>40</v>
      </c>
      <c r="J35" s="37"/>
      <c r="K35" s="142" t="s">
        <v>1239</v>
      </c>
      <c r="L35" s="142" t="s">
        <v>1240</v>
      </c>
      <c r="M35" s="142"/>
      <c r="N35" s="142" t="s">
        <v>1241</v>
      </c>
      <c r="O35" s="142" t="s">
        <v>1242</v>
      </c>
      <c r="P35" s="243"/>
      <c r="Q35" s="244"/>
      <c r="R35" s="244"/>
      <c r="S35" s="244"/>
      <c r="T35" s="244"/>
      <c r="U35" s="244"/>
      <c r="V35" s="245"/>
      <c r="W35" s="38" t="s">
        <v>41</v>
      </c>
      <c r="X35" s="39"/>
      <c r="Y35" s="205">
        <v>9</v>
      </c>
      <c r="Z35" s="39" t="s">
        <v>31</v>
      </c>
      <c r="AA35" s="206">
        <v>9</v>
      </c>
    </row>
    <row r="36" spans="1:27" ht="17.100000000000001" customHeight="1" thickBot="1">
      <c r="A36" s="186"/>
      <c r="B36" s="196" t="s">
        <v>42</v>
      </c>
      <c r="C36" s="231"/>
      <c r="D36" s="231"/>
      <c r="E36" s="231"/>
      <c r="F36" s="231"/>
      <c r="G36" s="278"/>
      <c r="H36" s="234"/>
      <c r="I36" s="180" t="s">
        <v>43</v>
      </c>
      <c r="J36" s="181"/>
      <c r="K36" s="148" t="s">
        <v>1243</v>
      </c>
      <c r="L36" s="148" t="s">
        <v>1244</v>
      </c>
      <c r="M36" s="148" t="s">
        <v>1245</v>
      </c>
      <c r="N36" s="148" t="s">
        <v>1246</v>
      </c>
      <c r="O36" s="148" t="s">
        <v>1247</v>
      </c>
      <c r="P36" s="246"/>
      <c r="Q36" s="247"/>
      <c r="R36" s="247"/>
      <c r="S36" s="247"/>
      <c r="T36" s="247"/>
      <c r="U36" s="247"/>
      <c r="V36" s="248"/>
      <c r="W36" s="182" t="s">
        <v>44</v>
      </c>
      <c r="X36" s="183"/>
      <c r="Y36" s="220">
        <v>2316054</v>
      </c>
      <c r="Z36" s="220"/>
      <c r="AA36" s="221"/>
    </row>
    <row r="37" spans="1:27" ht="17.100000000000001" customHeight="1"/>
  </sheetData>
  <sheetProtection algorithmName="SHA-512" hashValue="58T07tr9pI9XuHmhytY4iw+YKTm7kKk10MTXy7clAU1bLJNjQGDBgu0ScOjd/7r+rZyJDHC2ty4Ug4zz1XdwAg==" saltValue="I5+8BmAJ9/6f/uO2ZtpyzQ==" spinCount="100000" sheet="1" scenarios="1" formatCells="0" formatColumns="0" formatRows="0"/>
  <mergeCells count="35">
    <mergeCell ref="B1:B3"/>
    <mergeCell ref="C1:C3"/>
    <mergeCell ref="D1:D3"/>
    <mergeCell ref="E1:E3"/>
    <mergeCell ref="F1:F3"/>
    <mergeCell ref="W4:AA4"/>
    <mergeCell ref="U5:AA5"/>
    <mergeCell ref="U1:X1"/>
    <mergeCell ref="Y1:AA1"/>
    <mergeCell ref="G2:L4"/>
    <mergeCell ref="U2:W2"/>
    <mergeCell ref="X2:AA2"/>
    <mergeCell ref="U3:X3"/>
    <mergeCell ref="Y3:AA3"/>
    <mergeCell ref="G1:L1"/>
    <mergeCell ref="B4:B5"/>
    <mergeCell ref="C4:C5"/>
    <mergeCell ref="D4:D5"/>
    <mergeCell ref="E4:E5"/>
    <mergeCell ref="F4:F5"/>
    <mergeCell ref="Y36:AA36"/>
    <mergeCell ref="U7:V7"/>
    <mergeCell ref="C32:C36"/>
    <mergeCell ref="D32:D36"/>
    <mergeCell ref="E32:E36"/>
    <mergeCell ref="F32:F36"/>
    <mergeCell ref="G32:G36"/>
    <mergeCell ref="H32:H36"/>
    <mergeCell ref="K32:O32"/>
    <mergeCell ref="P32:V36"/>
    <mergeCell ref="Y32:AA32"/>
    <mergeCell ref="L33:M33"/>
    <mergeCell ref="Y33:AA33"/>
    <mergeCell ref="L34:M34"/>
    <mergeCell ref="Y34:AA34"/>
  </mergeCells>
  <dataValidations count="3">
    <dataValidation type="decimal" operator="greaterThan" showInputMessage="1" showErrorMessage="1" sqref="V8:V31" xr:uid="{5E46B234-F3AD-4E06-91EC-9078F0F12FAB}">
      <formula1>0</formula1>
    </dataValidation>
    <dataValidation showInputMessage="1" showErrorMessage="1" sqref="M8:M31" xr:uid="{5EA9FBD3-DB22-49A0-B27E-56670468BF61}"/>
    <dataValidation type="decimal" showInputMessage="1" showErrorMessage="1" sqref="Q8:T31" xr:uid="{0BF6D8F9-F1A5-4BD8-BF7B-2161CDB71E4F}">
      <formula1>0</formula1>
      <formula2>9999999</formula2>
    </dataValidation>
  </dataValidations>
  <printOptions horizontalCentered="1"/>
  <pageMargins left="0" right="0" top="0.25" bottom="0.25" header="0" footer="0"/>
  <pageSetup paperSize="8" scale="86" orientation="landscape" r:id="rId1"/>
  <headerFooter alignWithMargins="0">
    <oddHeader>&amp;L&amp;"Calibri"&amp;10&amp;K000000CLASSIFICATION: C1 - CONTROLLED&amp;1#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anchor moveWithCells="1" sizeWithCells="1">
                  <from>
                    <xdr:col>0</xdr:col>
                    <xdr:colOff>0</xdr:colOff>
                    <xdr:row>31</xdr:row>
                    <xdr:rowOff>57150</xdr:rowOff>
                  </from>
                  <to>
                    <xdr:col>0</xdr:col>
                    <xdr:colOff>0</xdr:colOff>
                    <xdr:row>36</xdr:row>
                    <xdr:rowOff>104775</xdr:rowOff>
                  </to>
                </anchor>
              </controlPr>
            </control>
          </mc:Choice>
        </mc:AlternateContent>
        <mc:AlternateContent xmlns:mc="http://schemas.openxmlformats.org/markup-compatibility/2006">
          <mc:Choice Requires="x14">
            <control shapeId="12290" r:id="rId5" name="Check Box 2">
              <controlPr locked="0" defaultSize="0" autoFill="0" autoLine="0" autoPict="0">
                <anchor moveWithCells="1">
                  <from>
                    <xdr:col>7</xdr:col>
                    <xdr:colOff>247650</xdr:colOff>
                    <xdr:row>0</xdr:row>
                    <xdr:rowOff>209550</xdr:rowOff>
                  </from>
                  <to>
                    <xdr:col>8</xdr:col>
                    <xdr:colOff>1619250</xdr:colOff>
                    <xdr:row>0</xdr:row>
                    <xdr:rowOff>342900</xdr:rowOff>
                  </to>
                </anchor>
              </controlPr>
            </control>
          </mc:Choice>
        </mc:AlternateContent>
        <mc:AlternateContent xmlns:mc="http://schemas.openxmlformats.org/markup-compatibility/2006">
          <mc:Choice Requires="x14">
            <control shapeId="12291" r:id="rId6" name="Check Box 3">
              <controlPr locked="0" defaultSize="0" autoFill="0" autoLine="0" autoPict="0">
                <anchor moveWithCells="1">
                  <from>
                    <xdr:col>7</xdr:col>
                    <xdr:colOff>247650</xdr:colOff>
                    <xdr:row>0</xdr:row>
                    <xdr:rowOff>361950</xdr:rowOff>
                  </from>
                  <to>
                    <xdr:col>8</xdr:col>
                    <xdr:colOff>1409700</xdr:colOff>
                    <xdr:row>1</xdr:row>
                    <xdr:rowOff>19050</xdr:rowOff>
                  </to>
                </anchor>
              </controlPr>
            </control>
          </mc:Choice>
        </mc:AlternateContent>
        <mc:AlternateContent xmlns:mc="http://schemas.openxmlformats.org/markup-compatibility/2006">
          <mc:Choice Requires="x14">
            <control shapeId="12292" r:id="rId7" name="Check Box 4">
              <controlPr locked="0" defaultSize="0" autoFill="0" autoLine="0" autoPict="0">
                <anchor moveWithCells="1">
                  <from>
                    <xdr:col>9</xdr:col>
                    <xdr:colOff>38100</xdr:colOff>
                    <xdr:row>0</xdr:row>
                    <xdr:rowOff>180975</xdr:rowOff>
                  </from>
                  <to>
                    <xdr:col>9</xdr:col>
                    <xdr:colOff>1200150</xdr:colOff>
                    <xdr:row>0</xdr:row>
                    <xdr:rowOff>361950</xdr:rowOff>
                  </to>
                </anchor>
              </controlPr>
            </control>
          </mc:Choice>
        </mc:AlternateContent>
        <mc:AlternateContent xmlns:mc="http://schemas.openxmlformats.org/markup-compatibility/2006">
          <mc:Choice Requires="x14">
            <control shapeId="12293" r:id="rId8" name="Check Box 5">
              <controlPr locked="0" defaultSize="0" autoFill="0" autoLine="0" autoPict="0">
                <anchor moveWithCells="1">
                  <from>
                    <xdr:col>9</xdr:col>
                    <xdr:colOff>38100</xdr:colOff>
                    <xdr:row>0</xdr:row>
                    <xdr:rowOff>361950</xdr:rowOff>
                  </from>
                  <to>
                    <xdr:col>9</xdr:col>
                    <xdr:colOff>1428750</xdr:colOff>
                    <xdr:row>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showInputMessage="1" showErrorMessage="1" xr:uid="{E7558491-72EA-4A60-928D-C6E7E7226E09}">
          <x14:formula1>
            <xm:f>'Validation Lists'!$J$3:$J$50</xm:f>
          </x14:formula1>
          <xm:sqref>Y8:Y31</xm:sqref>
        </x14:dataValidation>
        <x14:dataValidation type="list" allowBlank="1" showInputMessage="1" showErrorMessage="1" xr:uid="{8B2D3342-8E53-41B6-9FE0-E937A04C4989}">
          <x14:formula1>
            <xm:f>'Validation Lists'!$C$2:$C$6</xm:f>
          </x14:formula1>
          <xm:sqref>AA8:AA31</xm:sqref>
        </x14:dataValidation>
        <x14:dataValidation type="list" showInputMessage="1" showErrorMessage="1" xr:uid="{F47EE324-0B6D-489F-A2FF-8BE93265F2AE}">
          <x14:formula1>
            <xm:f>'Validation Lists'!$P$2:$P$35</xm:f>
          </x14:formula1>
          <xm:sqref>N9:N31</xm:sqref>
        </x14:dataValidation>
        <x14:dataValidation type="list" showInputMessage="1" showErrorMessage="1" xr:uid="{441A969B-6AFC-414C-9059-0A4E53DA16BB}">
          <x14:formula1>
            <xm:f>'Validation Lists'!$G$2:$G$189</xm:f>
          </x14:formula1>
          <xm:sqref>U8:U31</xm:sqref>
        </x14:dataValidation>
        <x14:dataValidation type="list" operator="greaterThan" showDropDown="1" showInputMessage="1" showErrorMessage="1" xr:uid="{BF8E299F-201B-4501-AE36-EBAE7924EC0F}">
          <x14:formula1>
            <xm:f>'Validation Lists'!$E$2:$E$501</xm:f>
          </x14:formula1>
          <xm:sqref>W8:W31</xm:sqref>
        </x14:dataValidation>
        <x14:dataValidation type="list" showInputMessage="1" showErrorMessage="1" xr:uid="{692C1602-1F14-4864-BE53-74E0B9CE703F}">
          <x14:formula1>
            <xm:f>'Validation Lists'!$P$2:$P$62</xm:f>
          </x14:formula1>
          <xm:sqref>N8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Q501"/>
  <sheetViews>
    <sheetView topLeftCell="E1" workbookViewId="0">
      <selection activeCell="S45" sqref="S45"/>
    </sheetView>
  </sheetViews>
  <sheetFormatPr defaultRowHeight="12.75"/>
  <cols>
    <col min="1" max="1" width="13.7109375" bestFit="1" customWidth="1"/>
    <col min="2" max="2" width="10.28515625" bestFit="1" customWidth="1"/>
    <col min="3" max="3" width="31.28515625" customWidth="1"/>
    <col min="4" max="4" width="43.28515625" bestFit="1" customWidth="1"/>
    <col min="8" max="8" width="34.5703125" bestFit="1" customWidth="1"/>
    <col min="10" max="10" width="17.28515625" customWidth="1"/>
    <col min="15" max="15" width="5.7109375" customWidth="1"/>
    <col min="16" max="16" width="49.7109375" bestFit="1" customWidth="1"/>
  </cols>
  <sheetData>
    <row r="1" spans="1:17">
      <c r="A1" s="46" t="s">
        <v>56</v>
      </c>
      <c r="B1" s="49" t="s">
        <v>486</v>
      </c>
      <c r="C1" s="49" t="s">
        <v>487</v>
      </c>
      <c r="D1" s="49" t="s">
        <v>488</v>
      </c>
    </row>
    <row r="2" spans="1:17">
      <c r="A2" s="50" t="s">
        <v>57</v>
      </c>
      <c r="B2" t="s">
        <v>233</v>
      </c>
      <c r="C2" s="49" t="s">
        <v>932</v>
      </c>
      <c r="D2" s="49" t="s">
        <v>490</v>
      </c>
      <c r="E2">
        <v>1</v>
      </c>
      <c r="F2" t="s">
        <v>680</v>
      </c>
      <c r="G2" t="s">
        <v>937</v>
      </c>
      <c r="H2" t="s">
        <v>495</v>
      </c>
      <c r="I2" t="s">
        <v>728</v>
      </c>
      <c r="K2" t="s">
        <v>729</v>
      </c>
      <c r="O2" t="s">
        <v>1126</v>
      </c>
      <c r="P2" t="s">
        <v>1178</v>
      </c>
      <c r="Q2" t="s">
        <v>1151</v>
      </c>
    </row>
    <row r="3" spans="1:17">
      <c r="A3" s="50" t="s">
        <v>58</v>
      </c>
      <c r="B3" t="s">
        <v>234</v>
      </c>
      <c r="C3" s="49" t="s">
        <v>933</v>
      </c>
      <c r="D3" s="49" t="s">
        <v>491</v>
      </c>
      <c r="E3">
        <v>2</v>
      </c>
      <c r="F3" t="s">
        <v>57</v>
      </c>
      <c r="G3" t="s">
        <v>938</v>
      </c>
      <c r="H3" t="s">
        <v>496</v>
      </c>
      <c r="I3" t="s">
        <v>254</v>
      </c>
      <c r="J3" s="49" t="s">
        <v>884</v>
      </c>
      <c r="K3" t="s">
        <v>254</v>
      </c>
      <c r="O3" s="49" t="s">
        <v>834</v>
      </c>
      <c r="P3" t="s">
        <v>800</v>
      </c>
      <c r="Q3" t="s">
        <v>735</v>
      </c>
    </row>
    <row r="4" spans="1:17">
      <c r="A4" s="50" t="s">
        <v>59</v>
      </c>
      <c r="B4" t="s">
        <v>235</v>
      </c>
      <c r="C4" s="49" t="s">
        <v>936</v>
      </c>
      <c r="D4" s="49" t="s">
        <v>492</v>
      </c>
      <c r="E4">
        <v>3</v>
      </c>
      <c r="F4" t="s">
        <v>681</v>
      </c>
      <c r="G4" t="s">
        <v>939</v>
      </c>
      <c r="H4" t="s">
        <v>497</v>
      </c>
      <c r="I4" t="s">
        <v>257</v>
      </c>
      <c r="J4" t="s">
        <v>885</v>
      </c>
      <c r="K4" t="s">
        <v>842</v>
      </c>
      <c r="O4" t="s">
        <v>1127</v>
      </c>
      <c r="P4" t="s">
        <v>1179</v>
      </c>
      <c r="Q4" t="s">
        <v>1152</v>
      </c>
    </row>
    <row r="5" spans="1:17">
      <c r="A5" s="47" t="s">
        <v>60</v>
      </c>
      <c r="B5" t="s">
        <v>236</v>
      </c>
      <c r="C5" s="49" t="s">
        <v>934</v>
      </c>
      <c r="D5" s="49" t="s">
        <v>489</v>
      </c>
      <c r="E5">
        <v>4</v>
      </c>
      <c r="F5" t="s">
        <v>59</v>
      </c>
      <c r="G5" t="s">
        <v>940</v>
      </c>
      <c r="H5" t="s">
        <v>498</v>
      </c>
      <c r="I5" t="s">
        <v>267</v>
      </c>
      <c r="J5" t="s">
        <v>886</v>
      </c>
      <c r="K5" t="s">
        <v>267</v>
      </c>
      <c r="O5" s="49" t="s">
        <v>835</v>
      </c>
      <c r="P5" t="s">
        <v>801</v>
      </c>
      <c r="Q5" t="s">
        <v>736</v>
      </c>
    </row>
    <row r="6" spans="1:17">
      <c r="A6" s="47" t="s">
        <v>61</v>
      </c>
      <c r="B6" s="48" t="s">
        <v>485</v>
      </c>
      <c r="C6" s="49" t="s">
        <v>935</v>
      </c>
      <c r="E6">
        <v>5</v>
      </c>
      <c r="F6" t="s">
        <v>60</v>
      </c>
      <c r="G6" t="s">
        <v>941</v>
      </c>
      <c r="H6" t="s">
        <v>499</v>
      </c>
      <c r="I6" t="s">
        <v>266</v>
      </c>
      <c r="J6" t="s">
        <v>887</v>
      </c>
      <c r="K6" t="s">
        <v>843</v>
      </c>
      <c r="O6" t="s">
        <v>83</v>
      </c>
      <c r="P6" t="s">
        <v>1197</v>
      </c>
      <c r="Q6" t="s">
        <v>1170</v>
      </c>
    </row>
    <row r="7" spans="1:17">
      <c r="A7" s="47" t="s">
        <v>62</v>
      </c>
      <c r="B7" t="s">
        <v>237</v>
      </c>
      <c r="E7">
        <v>6</v>
      </c>
      <c r="F7" t="s">
        <v>61</v>
      </c>
      <c r="G7" t="s">
        <v>942</v>
      </c>
      <c r="H7" t="s">
        <v>500</v>
      </c>
      <c r="I7" s="48" t="s">
        <v>337</v>
      </c>
      <c r="J7" t="s">
        <v>888</v>
      </c>
      <c r="K7" t="s">
        <v>844</v>
      </c>
      <c r="O7" t="s">
        <v>737</v>
      </c>
      <c r="P7" t="s">
        <v>802</v>
      </c>
      <c r="Q7" t="s">
        <v>738</v>
      </c>
    </row>
    <row r="8" spans="1:17">
      <c r="A8" s="47" t="s">
        <v>63</v>
      </c>
      <c r="B8" t="s">
        <v>238</v>
      </c>
      <c r="E8">
        <v>7</v>
      </c>
      <c r="F8" t="s">
        <v>682</v>
      </c>
      <c r="G8" t="s">
        <v>943</v>
      </c>
      <c r="H8" t="s">
        <v>501</v>
      </c>
      <c r="I8" t="s">
        <v>338</v>
      </c>
      <c r="J8" t="s">
        <v>889</v>
      </c>
      <c r="K8" t="s">
        <v>845</v>
      </c>
      <c r="O8" t="s">
        <v>1142</v>
      </c>
      <c r="P8" t="s">
        <v>1195</v>
      </c>
      <c r="Q8" t="s">
        <v>1168</v>
      </c>
    </row>
    <row r="9" spans="1:17">
      <c r="A9" s="47" t="s">
        <v>64</v>
      </c>
      <c r="B9" t="s">
        <v>239</v>
      </c>
      <c r="E9">
        <v>8</v>
      </c>
      <c r="F9" t="s">
        <v>683</v>
      </c>
      <c r="G9" t="s">
        <v>944</v>
      </c>
      <c r="H9" t="s">
        <v>502</v>
      </c>
      <c r="I9" t="s">
        <v>282</v>
      </c>
      <c r="J9" t="s">
        <v>890</v>
      </c>
      <c r="K9" t="s">
        <v>846</v>
      </c>
      <c r="O9" t="s">
        <v>1129</v>
      </c>
      <c r="P9" t="s">
        <v>1181</v>
      </c>
      <c r="Q9" t="s">
        <v>1154</v>
      </c>
    </row>
    <row r="10" spans="1:17">
      <c r="A10" s="47" t="s">
        <v>65</v>
      </c>
      <c r="B10" t="s">
        <v>240</v>
      </c>
      <c r="E10">
        <v>9</v>
      </c>
      <c r="F10" t="s">
        <v>63</v>
      </c>
      <c r="G10" t="s">
        <v>945</v>
      </c>
      <c r="H10" t="s">
        <v>503</v>
      </c>
      <c r="I10" t="s">
        <v>286</v>
      </c>
      <c r="J10" t="s">
        <v>891</v>
      </c>
      <c r="K10" t="s">
        <v>847</v>
      </c>
      <c r="O10" t="s">
        <v>1128</v>
      </c>
      <c r="P10" t="s">
        <v>1180</v>
      </c>
      <c r="Q10" t="s">
        <v>1153</v>
      </c>
    </row>
    <row r="11" spans="1:17">
      <c r="A11" s="47" t="s">
        <v>66</v>
      </c>
      <c r="B11" t="s">
        <v>241</v>
      </c>
      <c r="E11">
        <v>10</v>
      </c>
      <c r="F11" t="s">
        <v>684</v>
      </c>
      <c r="G11" t="s">
        <v>946</v>
      </c>
      <c r="H11" t="s">
        <v>504</v>
      </c>
      <c r="I11" t="s">
        <v>466</v>
      </c>
      <c r="J11" t="s">
        <v>892</v>
      </c>
      <c r="K11" t="s">
        <v>848</v>
      </c>
      <c r="O11" t="s">
        <v>739</v>
      </c>
      <c r="P11" t="s">
        <v>803</v>
      </c>
      <c r="Q11" t="s">
        <v>740</v>
      </c>
    </row>
    <row r="12" spans="1:17">
      <c r="A12" s="47" t="s">
        <v>67</v>
      </c>
      <c r="B12" t="s">
        <v>242</v>
      </c>
      <c r="E12">
        <v>11</v>
      </c>
      <c r="F12" t="s">
        <v>64</v>
      </c>
      <c r="G12" t="s">
        <v>947</v>
      </c>
      <c r="H12" t="s">
        <v>505</v>
      </c>
      <c r="I12" t="s">
        <v>294</v>
      </c>
      <c r="J12" t="s">
        <v>893</v>
      </c>
      <c r="K12" t="s">
        <v>849</v>
      </c>
      <c r="O12" t="s">
        <v>741</v>
      </c>
      <c r="P12" t="s">
        <v>804</v>
      </c>
      <c r="Q12" t="s">
        <v>742</v>
      </c>
    </row>
    <row r="13" spans="1:17">
      <c r="A13" s="47" t="s">
        <v>68</v>
      </c>
      <c r="B13" t="s">
        <v>243</v>
      </c>
      <c r="E13">
        <v>12</v>
      </c>
      <c r="F13" t="s">
        <v>65</v>
      </c>
      <c r="G13" t="s">
        <v>948</v>
      </c>
      <c r="H13" t="s">
        <v>506</v>
      </c>
      <c r="I13" t="s">
        <v>296</v>
      </c>
      <c r="J13" t="s">
        <v>894</v>
      </c>
      <c r="K13" t="s">
        <v>850</v>
      </c>
      <c r="O13" t="s">
        <v>743</v>
      </c>
      <c r="P13" t="s">
        <v>805</v>
      </c>
      <c r="Q13" t="s">
        <v>744</v>
      </c>
    </row>
    <row r="14" spans="1:17">
      <c r="A14" s="47" t="s">
        <v>69</v>
      </c>
      <c r="B14" t="s">
        <v>244</v>
      </c>
      <c r="E14">
        <v>13</v>
      </c>
      <c r="F14" t="s">
        <v>685</v>
      </c>
      <c r="G14" t="s">
        <v>949</v>
      </c>
      <c r="H14" t="s">
        <v>507</v>
      </c>
      <c r="I14" t="s">
        <v>299</v>
      </c>
      <c r="J14" t="s">
        <v>895</v>
      </c>
      <c r="K14" t="s">
        <v>851</v>
      </c>
      <c r="O14" t="s">
        <v>1143</v>
      </c>
      <c r="P14" t="s">
        <v>1196</v>
      </c>
      <c r="Q14" t="s">
        <v>1169</v>
      </c>
    </row>
    <row r="15" spans="1:17">
      <c r="A15" s="47" t="s">
        <v>70</v>
      </c>
      <c r="B15" t="s">
        <v>245</v>
      </c>
      <c r="E15">
        <v>14</v>
      </c>
      <c r="F15" t="s">
        <v>66</v>
      </c>
      <c r="G15" t="s">
        <v>950</v>
      </c>
      <c r="H15" t="s">
        <v>508</v>
      </c>
      <c r="I15" t="s">
        <v>300</v>
      </c>
      <c r="J15" t="s">
        <v>896</v>
      </c>
      <c r="K15" t="s">
        <v>852</v>
      </c>
      <c r="O15" t="s">
        <v>792</v>
      </c>
      <c r="P15" t="s">
        <v>830</v>
      </c>
      <c r="Q15" t="s">
        <v>793</v>
      </c>
    </row>
    <row r="16" spans="1:17">
      <c r="A16" s="47" t="s">
        <v>71</v>
      </c>
      <c r="B16" t="s">
        <v>246</v>
      </c>
      <c r="E16">
        <v>15</v>
      </c>
      <c r="F16" t="s">
        <v>67</v>
      </c>
      <c r="G16" t="s">
        <v>951</v>
      </c>
      <c r="H16" t="s">
        <v>509</v>
      </c>
      <c r="I16" t="s">
        <v>302</v>
      </c>
      <c r="J16" t="s">
        <v>897</v>
      </c>
      <c r="K16" t="s">
        <v>853</v>
      </c>
      <c r="O16" t="s">
        <v>745</v>
      </c>
      <c r="P16" t="s">
        <v>806</v>
      </c>
      <c r="Q16" t="s">
        <v>746</v>
      </c>
    </row>
    <row r="17" spans="1:17">
      <c r="A17" s="47" t="s">
        <v>72</v>
      </c>
      <c r="B17" t="s">
        <v>247</v>
      </c>
      <c r="E17">
        <v>16</v>
      </c>
      <c r="F17" t="s">
        <v>68</v>
      </c>
      <c r="G17" t="s">
        <v>952</v>
      </c>
      <c r="H17" t="s">
        <v>510</v>
      </c>
      <c r="I17" t="s">
        <v>308</v>
      </c>
      <c r="J17" t="s">
        <v>898</v>
      </c>
      <c r="K17" t="s">
        <v>854</v>
      </c>
      <c r="O17" t="s">
        <v>788</v>
      </c>
      <c r="P17" t="s">
        <v>828</v>
      </c>
      <c r="Q17" t="s">
        <v>789</v>
      </c>
    </row>
    <row r="18" spans="1:17">
      <c r="A18" s="47" t="s">
        <v>73</v>
      </c>
      <c r="B18" t="s">
        <v>248</v>
      </c>
      <c r="E18">
        <v>17</v>
      </c>
      <c r="F18" t="s">
        <v>69</v>
      </c>
      <c r="G18" t="s">
        <v>953</v>
      </c>
      <c r="H18" t="s">
        <v>511</v>
      </c>
      <c r="I18" t="s">
        <v>306</v>
      </c>
      <c r="J18" t="s">
        <v>899</v>
      </c>
      <c r="K18" t="s">
        <v>855</v>
      </c>
      <c r="O18" t="s">
        <v>747</v>
      </c>
      <c r="P18" t="s">
        <v>807</v>
      </c>
      <c r="Q18" t="s">
        <v>748</v>
      </c>
    </row>
    <row r="19" spans="1:17">
      <c r="A19" s="47" t="s">
        <v>74</v>
      </c>
      <c r="B19" t="s">
        <v>249</v>
      </c>
      <c r="E19">
        <v>18</v>
      </c>
      <c r="F19" t="s">
        <v>686</v>
      </c>
      <c r="G19" t="s">
        <v>954</v>
      </c>
      <c r="H19" t="s">
        <v>512</v>
      </c>
      <c r="I19" t="s">
        <v>310</v>
      </c>
      <c r="J19" t="s">
        <v>900</v>
      </c>
      <c r="K19" t="s">
        <v>856</v>
      </c>
      <c r="O19" t="s">
        <v>1148</v>
      </c>
      <c r="P19" t="s">
        <v>1202</v>
      </c>
      <c r="Q19" t="s">
        <v>1175</v>
      </c>
    </row>
    <row r="20" spans="1:17">
      <c r="A20" s="47" t="s">
        <v>75</v>
      </c>
      <c r="B20" t="s">
        <v>250</v>
      </c>
      <c r="E20">
        <v>19</v>
      </c>
      <c r="F20" t="s">
        <v>70</v>
      </c>
      <c r="G20" t="s">
        <v>955</v>
      </c>
      <c r="H20" t="s">
        <v>513</v>
      </c>
      <c r="I20" t="s">
        <v>463</v>
      </c>
      <c r="J20" t="s">
        <v>901</v>
      </c>
      <c r="K20" t="s">
        <v>857</v>
      </c>
      <c r="O20" t="s">
        <v>749</v>
      </c>
      <c r="P20" t="s">
        <v>808</v>
      </c>
      <c r="Q20" t="s">
        <v>750</v>
      </c>
    </row>
    <row r="21" spans="1:17">
      <c r="A21" s="47" t="s">
        <v>76</v>
      </c>
      <c r="B21" t="s">
        <v>251</v>
      </c>
      <c r="E21">
        <v>20</v>
      </c>
      <c r="F21" t="s">
        <v>71</v>
      </c>
      <c r="G21" t="s">
        <v>956</v>
      </c>
      <c r="H21" t="s">
        <v>514</v>
      </c>
      <c r="I21" t="s">
        <v>327</v>
      </c>
      <c r="J21" t="s">
        <v>902</v>
      </c>
      <c r="K21" t="s">
        <v>858</v>
      </c>
      <c r="O21" t="s">
        <v>790</v>
      </c>
      <c r="P21" t="s">
        <v>829</v>
      </c>
      <c r="Q21" t="s">
        <v>791</v>
      </c>
    </row>
    <row r="22" spans="1:17">
      <c r="A22" s="47" t="s">
        <v>77</v>
      </c>
      <c r="B22" t="s">
        <v>252</v>
      </c>
      <c r="E22">
        <v>21</v>
      </c>
      <c r="F22" t="s">
        <v>72</v>
      </c>
      <c r="G22" t="s">
        <v>957</v>
      </c>
      <c r="H22" t="s">
        <v>515</v>
      </c>
      <c r="I22" t="s">
        <v>332</v>
      </c>
      <c r="J22" t="s">
        <v>903</v>
      </c>
      <c r="K22" t="s">
        <v>332</v>
      </c>
      <c r="O22" t="s">
        <v>308</v>
      </c>
      <c r="P22" t="s">
        <v>826</v>
      </c>
      <c r="Q22" t="s">
        <v>785</v>
      </c>
    </row>
    <row r="23" spans="1:17">
      <c r="A23" s="47" t="s">
        <v>78</v>
      </c>
      <c r="B23" t="s">
        <v>253</v>
      </c>
      <c r="E23">
        <v>22</v>
      </c>
      <c r="F23" t="s">
        <v>73</v>
      </c>
      <c r="G23" t="s">
        <v>958</v>
      </c>
      <c r="H23" t="s">
        <v>516</v>
      </c>
      <c r="I23" t="s">
        <v>335</v>
      </c>
      <c r="J23" t="s">
        <v>904</v>
      </c>
      <c r="K23" t="s">
        <v>859</v>
      </c>
      <c r="O23" t="s">
        <v>751</v>
      </c>
      <c r="P23" t="s">
        <v>809</v>
      </c>
      <c r="Q23" t="s">
        <v>752</v>
      </c>
    </row>
    <row r="24" spans="1:17">
      <c r="A24" s="47" t="s">
        <v>79</v>
      </c>
      <c r="B24" t="s">
        <v>254</v>
      </c>
      <c r="E24">
        <v>23</v>
      </c>
      <c r="F24" t="s">
        <v>74</v>
      </c>
      <c r="G24" t="s">
        <v>959</v>
      </c>
      <c r="H24" t="s">
        <v>517</v>
      </c>
      <c r="I24" t="s">
        <v>339</v>
      </c>
      <c r="J24" t="s">
        <v>905</v>
      </c>
      <c r="K24" t="s">
        <v>860</v>
      </c>
      <c r="O24" t="s">
        <v>751</v>
      </c>
      <c r="P24" t="s">
        <v>1182</v>
      </c>
      <c r="Q24" t="s">
        <v>1155</v>
      </c>
    </row>
    <row r="25" spans="1:17">
      <c r="A25" s="47" t="s">
        <v>80</v>
      </c>
      <c r="B25" t="s">
        <v>255</v>
      </c>
      <c r="E25">
        <v>24</v>
      </c>
      <c r="F25" t="s">
        <v>75</v>
      </c>
      <c r="G25" t="s">
        <v>960</v>
      </c>
      <c r="H25" t="s">
        <v>518</v>
      </c>
      <c r="I25" t="s">
        <v>344</v>
      </c>
      <c r="J25" t="s">
        <v>906</v>
      </c>
      <c r="K25" t="s">
        <v>344</v>
      </c>
      <c r="O25" t="s">
        <v>1146</v>
      </c>
      <c r="P25" t="s">
        <v>1200</v>
      </c>
      <c r="Q25" t="s">
        <v>1173</v>
      </c>
    </row>
    <row r="26" spans="1:17">
      <c r="A26" s="47" t="s">
        <v>81</v>
      </c>
      <c r="B26" t="s">
        <v>256</v>
      </c>
      <c r="E26">
        <v>25</v>
      </c>
      <c r="F26" t="s">
        <v>77</v>
      </c>
      <c r="G26" t="s">
        <v>961</v>
      </c>
      <c r="H26" t="s">
        <v>519</v>
      </c>
      <c r="I26" t="s">
        <v>358</v>
      </c>
      <c r="J26" t="s">
        <v>907</v>
      </c>
      <c r="K26" t="s">
        <v>861</v>
      </c>
      <c r="O26" t="s">
        <v>1130</v>
      </c>
      <c r="P26" t="s">
        <v>1183</v>
      </c>
      <c r="Q26" t="s">
        <v>1156</v>
      </c>
    </row>
    <row r="27" spans="1:17">
      <c r="A27" s="47" t="s">
        <v>82</v>
      </c>
      <c r="B27" t="s">
        <v>257</v>
      </c>
      <c r="E27">
        <v>26</v>
      </c>
      <c r="F27" t="s">
        <v>78</v>
      </c>
      <c r="G27" t="s">
        <v>962</v>
      </c>
      <c r="H27" t="s">
        <v>520</v>
      </c>
      <c r="I27" t="s">
        <v>360</v>
      </c>
      <c r="J27" t="s">
        <v>908</v>
      </c>
      <c r="K27" t="s">
        <v>862</v>
      </c>
      <c r="O27" t="s">
        <v>753</v>
      </c>
      <c r="P27" t="s">
        <v>810</v>
      </c>
      <c r="Q27" t="s">
        <v>754</v>
      </c>
    </row>
    <row r="28" spans="1:17">
      <c r="A28" s="47" t="s">
        <v>83</v>
      </c>
      <c r="B28" t="s">
        <v>258</v>
      </c>
      <c r="E28">
        <v>27</v>
      </c>
      <c r="F28" t="s">
        <v>79</v>
      </c>
      <c r="G28" t="s">
        <v>963</v>
      </c>
      <c r="H28" t="s">
        <v>521</v>
      </c>
      <c r="I28" t="s">
        <v>365</v>
      </c>
      <c r="J28" t="s">
        <v>909</v>
      </c>
      <c r="K28" t="s">
        <v>863</v>
      </c>
      <c r="O28" t="s">
        <v>1147</v>
      </c>
      <c r="P28" t="s">
        <v>1201</v>
      </c>
      <c r="Q28" t="s">
        <v>1174</v>
      </c>
    </row>
    <row r="29" spans="1:17">
      <c r="A29" s="47" t="s">
        <v>84</v>
      </c>
      <c r="B29" t="s">
        <v>259</v>
      </c>
      <c r="E29">
        <v>28</v>
      </c>
      <c r="F29" t="s">
        <v>80</v>
      </c>
      <c r="G29" t="s">
        <v>964</v>
      </c>
      <c r="H29" t="s">
        <v>522</v>
      </c>
      <c r="I29" t="s">
        <v>370</v>
      </c>
      <c r="J29" t="s">
        <v>910</v>
      </c>
      <c r="K29" t="s">
        <v>370</v>
      </c>
      <c r="O29" t="s">
        <v>755</v>
      </c>
      <c r="P29" t="s">
        <v>811</v>
      </c>
      <c r="Q29" t="s">
        <v>756</v>
      </c>
    </row>
    <row r="30" spans="1:17">
      <c r="A30" s="47" t="s">
        <v>85</v>
      </c>
      <c r="B30" t="s">
        <v>260</v>
      </c>
      <c r="E30">
        <v>29</v>
      </c>
      <c r="F30" t="s">
        <v>687</v>
      </c>
      <c r="G30" t="s">
        <v>965</v>
      </c>
      <c r="H30" t="s">
        <v>523</v>
      </c>
      <c r="I30" t="s">
        <v>372</v>
      </c>
      <c r="J30" t="s">
        <v>911</v>
      </c>
      <c r="K30" t="s">
        <v>864</v>
      </c>
      <c r="O30" t="s">
        <v>757</v>
      </c>
      <c r="P30" t="s">
        <v>812</v>
      </c>
      <c r="Q30" t="s">
        <v>758</v>
      </c>
    </row>
    <row r="31" spans="1:17">
      <c r="A31" s="47" t="s">
        <v>86</v>
      </c>
      <c r="B31" t="s">
        <v>261</v>
      </c>
      <c r="E31">
        <v>30</v>
      </c>
      <c r="F31" t="s">
        <v>82</v>
      </c>
      <c r="G31" t="s">
        <v>966</v>
      </c>
      <c r="H31" t="s">
        <v>524</v>
      </c>
      <c r="I31" t="s">
        <v>374</v>
      </c>
      <c r="J31" t="s">
        <v>912</v>
      </c>
      <c r="K31" t="s">
        <v>865</v>
      </c>
      <c r="O31" t="s">
        <v>1131</v>
      </c>
      <c r="P31" t="s">
        <v>1184</v>
      </c>
      <c r="Q31" t="s">
        <v>1157</v>
      </c>
    </row>
    <row r="32" spans="1:17">
      <c r="A32" s="47" t="s">
        <v>87</v>
      </c>
      <c r="B32" t="s">
        <v>262</v>
      </c>
      <c r="E32">
        <v>31</v>
      </c>
      <c r="F32" t="s">
        <v>83</v>
      </c>
      <c r="G32" t="s">
        <v>967</v>
      </c>
      <c r="H32" t="s">
        <v>525</v>
      </c>
      <c r="I32" t="s">
        <v>377</v>
      </c>
      <c r="J32" t="s">
        <v>913</v>
      </c>
      <c r="K32" t="s">
        <v>866</v>
      </c>
      <c r="O32" t="s">
        <v>798</v>
      </c>
      <c r="P32" t="s">
        <v>833</v>
      </c>
      <c r="Q32" t="s">
        <v>799</v>
      </c>
    </row>
    <row r="33" spans="1:17">
      <c r="A33" s="47" t="s">
        <v>88</v>
      </c>
      <c r="B33" t="s">
        <v>263</v>
      </c>
      <c r="E33">
        <v>32</v>
      </c>
      <c r="F33" t="s">
        <v>688</v>
      </c>
      <c r="G33" t="s">
        <v>968</v>
      </c>
      <c r="H33" t="s">
        <v>526</v>
      </c>
      <c r="I33" t="s">
        <v>381</v>
      </c>
      <c r="J33" t="s">
        <v>914</v>
      </c>
      <c r="K33" t="s">
        <v>867</v>
      </c>
      <c r="O33" t="s">
        <v>759</v>
      </c>
      <c r="P33" t="s">
        <v>813</v>
      </c>
      <c r="Q33" t="s">
        <v>760</v>
      </c>
    </row>
    <row r="34" spans="1:17">
      <c r="A34" s="47" t="s">
        <v>89</v>
      </c>
      <c r="B34" t="s">
        <v>264</v>
      </c>
      <c r="E34">
        <v>33</v>
      </c>
      <c r="F34" t="s">
        <v>86</v>
      </c>
      <c r="G34" t="s">
        <v>969</v>
      </c>
      <c r="H34" t="s">
        <v>527</v>
      </c>
      <c r="I34" t="s">
        <v>400</v>
      </c>
      <c r="J34" t="s">
        <v>915</v>
      </c>
      <c r="K34" t="s">
        <v>868</v>
      </c>
      <c r="O34" t="s">
        <v>794</v>
      </c>
      <c r="P34" t="s">
        <v>831</v>
      </c>
      <c r="Q34" t="s">
        <v>795</v>
      </c>
    </row>
    <row r="35" spans="1:17">
      <c r="A35" s="47" t="s">
        <v>90</v>
      </c>
      <c r="B35" t="s">
        <v>265</v>
      </c>
      <c r="E35">
        <v>34</v>
      </c>
      <c r="F35" t="s">
        <v>89</v>
      </c>
      <c r="G35" t="s">
        <v>970</v>
      </c>
      <c r="H35" t="s">
        <v>528</v>
      </c>
      <c r="I35" t="s">
        <v>407</v>
      </c>
      <c r="J35" t="s">
        <v>916</v>
      </c>
      <c r="K35" t="s">
        <v>869</v>
      </c>
      <c r="O35" t="s">
        <v>786</v>
      </c>
      <c r="P35" t="s">
        <v>827</v>
      </c>
      <c r="Q35" t="s">
        <v>787</v>
      </c>
    </row>
    <row r="36" spans="1:17">
      <c r="A36" s="47" t="s">
        <v>91</v>
      </c>
      <c r="B36" t="s">
        <v>266</v>
      </c>
      <c r="E36">
        <v>35</v>
      </c>
      <c r="F36" t="s">
        <v>90</v>
      </c>
      <c r="G36" t="s">
        <v>971</v>
      </c>
      <c r="H36" t="s">
        <v>529</v>
      </c>
      <c r="I36" t="s">
        <v>408</v>
      </c>
      <c r="J36" t="s">
        <v>917</v>
      </c>
      <c r="K36" t="s">
        <v>870</v>
      </c>
      <c r="O36" t="s">
        <v>761</v>
      </c>
      <c r="P36" t="s">
        <v>814</v>
      </c>
      <c r="Q36" t="s">
        <v>762</v>
      </c>
    </row>
    <row r="37" spans="1:17">
      <c r="A37" s="47" t="s">
        <v>92</v>
      </c>
      <c r="B37" t="s">
        <v>267</v>
      </c>
      <c r="E37">
        <v>36</v>
      </c>
      <c r="F37" t="s">
        <v>91</v>
      </c>
      <c r="G37" t="s">
        <v>972</v>
      </c>
      <c r="H37" t="s">
        <v>530</v>
      </c>
      <c r="I37" t="s">
        <v>413</v>
      </c>
      <c r="J37" t="s">
        <v>918</v>
      </c>
      <c r="K37" t="s">
        <v>871</v>
      </c>
      <c r="O37" t="s">
        <v>763</v>
      </c>
      <c r="P37" t="s">
        <v>815</v>
      </c>
      <c r="Q37" t="s">
        <v>764</v>
      </c>
    </row>
    <row r="38" spans="1:17">
      <c r="A38" s="47" t="s">
        <v>93</v>
      </c>
      <c r="B38" t="s">
        <v>268</v>
      </c>
      <c r="E38">
        <v>37</v>
      </c>
      <c r="F38" t="s">
        <v>93</v>
      </c>
      <c r="G38" t="s">
        <v>973</v>
      </c>
      <c r="H38" t="s">
        <v>531</v>
      </c>
      <c r="I38" t="s">
        <v>424</v>
      </c>
      <c r="J38" t="s">
        <v>919</v>
      </c>
      <c r="K38" t="s">
        <v>872</v>
      </c>
      <c r="O38" t="s">
        <v>765</v>
      </c>
      <c r="P38" t="s">
        <v>816</v>
      </c>
      <c r="Q38" t="s">
        <v>766</v>
      </c>
    </row>
    <row r="39" spans="1:17">
      <c r="A39" s="47" t="s">
        <v>94</v>
      </c>
      <c r="B39" t="s">
        <v>269</v>
      </c>
      <c r="E39">
        <v>38</v>
      </c>
      <c r="F39" t="s">
        <v>95</v>
      </c>
      <c r="G39" t="s">
        <v>974</v>
      </c>
      <c r="H39" t="s">
        <v>532</v>
      </c>
      <c r="I39" t="s">
        <v>427</v>
      </c>
      <c r="J39" t="s">
        <v>920</v>
      </c>
      <c r="K39" t="s">
        <v>873</v>
      </c>
      <c r="O39" t="s">
        <v>767</v>
      </c>
      <c r="P39" t="s">
        <v>817</v>
      </c>
      <c r="Q39" t="s">
        <v>768</v>
      </c>
    </row>
    <row r="40" spans="1:17">
      <c r="A40" s="47" t="s">
        <v>95</v>
      </c>
      <c r="B40" t="s">
        <v>270</v>
      </c>
      <c r="E40">
        <v>39</v>
      </c>
      <c r="F40" t="s">
        <v>96</v>
      </c>
      <c r="G40" t="s">
        <v>975</v>
      </c>
      <c r="H40" t="s">
        <v>533</v>
      </c>
      <c r="I40" t="s">
        <v>430</v>
      </c>
      <c r="J40" t="s">
        <v>921</v>
      </c>
      <c r="K40" t="s">
        <v>874</v>
      </c>
      <c r="O40" t="s">
        <v>769</v>
      </c>
      <c r="P40" t="s">
        <v>818</v>
      </c>
      <c r="Q40" t="s">
        <v>770</v>
      </c>
    </row>
    <row r="41" spans="1:17">
      <c r="A41" s="47" t="s">
        <v>96</v>
      </c>
      <c r="B41" t="s">
        <v>271</v>
      </c>
      <c r="E41">
        <v>40</v>
      </c>
      <c r="F41" t="s">
        <v>689</v>
      </c>
      <c r="G41" t="s">
        <v>976</v>
      </c>
      <c r="H41" t="s">
        <v>534</v>
      </c>
      <c r="I41" t="s">
        <v>431</v>
      </c>
      <c r="J41" t="s">
        <v>922</v>
      </c>
      <c r="K41" t="s">
        <v>875</v>
      </c>
      <c r="O41" t="s">
        <v>1132</v>
      </c>
      <c r="P41" t="s">
        <v>1185</v>
      </c>
      <c r="Q41" t="s">
        <v>1158</v>
      </c>
    </row>
    <row r="42" spans="1:17">
      <c r="A42" s="47" t="s">
        <v>97</v>
      </c>
      <c r="B42" t="s">
        <v>272</v>
      </c>
      <c r="E42">
        <v>41</v>
      </c>
      <c r="F42" t="s">
        <v>97</v>
      </c>
      <c r="G42" t="s">
        <v>977</v>
      </c>
      <c r="H42" t="s">
        <v>535</v>
      </c>
      <c r="I42" t="s">
        <v>462</v>
      </c>
      <c r="J42" t="s">
        <v>923</v>
      </c>
      <c r="K42" t="s">
        <v>876</v>
      </c>
      <c r="O42" t="s">
        <v>771</v>
      </c>
      <c r="P42" t="s">
        <v>819</v>
      </c>
      <c r="Q42" t="s">
        <v>772</v>
      </c>
    </row>
    <row r="43" spans="1:17">
      <c r="A43" s="47" t="s">
        <v>98</v>
      </c>
      <c r="B43" t="s">
        <v>273</v>
      </c>
      <c r="E43">
        <v>42</v>
      </c>
      <c r="F43" t="s">
        <v>690</v>
      </c>
      <c r="G43" t="s">
        <v>978</v>
      </c>
      <c r="H43" t="s">
        <v>536</v>
      </c>
      <c r="I43" t="s">
        <v>440</v>
      </c>
      <c r="J43" t="s">
        <v>924</v>
      </c>
      <c r="K43" t="s">
        <v>877</v>
      </c>
      <c r="O43" t="s">
        <v>1133</v>
      </c>
      <c r="P43" t="s">
        <v>1186</v>
      </c>
      <c r="Q43" t="s">
        <v>1159</v>
      </c>
    </row>
    <row r="44" spans="1:17">
      <c r="A44" s="47" t="s">
        <v>99</v>
      </c>
      <c r="B44" t="s">
        <v>274</v>
      </c>
      <c r="E44">
        <v>43</v>
      </c>
      <c r="F44" t="s">
        <v>691</v>
      </c>
      <c r="G44" t="s">
        <v>979</v>
      </c>
      <c r="H44" t="s">
        <v>537</v>
      </c>
      <c r="I44" t="s">
        <v>450</v>
      </c>
      <c r="J44" t="s">
        <v>925</v>
      </c>
      <c r="K44" t="s">
        <v>878</v>
      </c>
      <c r="O44" t="s">
        <v>1144</v>
      </c>
      <c r="P44" t="s">
        <v>1198</v>
      </c>
      <c r="Q44" t="s">
        <v>1171</v>
      </c>
    </row>
    <row r="45" spans="1:17">
      <c r="A45" s="47" t="s">
        <v>100</v>
      </c>
      <c r="B45" t="s">
        <v>275</v>
      </c>
      <c r="E45">
        <v>44</v>
      </c>
      <c r="F45" t="s">
        <v>98</v>
      </c>
      <c r="G45" t="s">
        <v>980</v>
      </c>
      <c r="H45" t="s">
        <v>538</v>
      </c>
      <c r="I45" t="s">
        <v>454</v>
      </c>
      <c r="J45" t="s">
        <v>926</v>
      </c>
      <c r="K45" t="s">
        <v>879</v>
      </c>
      <c r="O45" t="s">
        <v>1134</v>
      </c>
      <c r="P45" t="s">
        <v>1187</v>
      </c>
      <c r="Q45" t="s">
        <v>1160</v>
      </c>
    </row>
    <row r="46" spans="1:17">
      <c r="A46" s="47" t="s">
        <v>101</v>
      </c>
      <c r="B46" t="s">
        <v>276</v>
      </c>
      <c r="E46">
        <v>45</v>
      </c>
      <c r="F46" t="s">
        <v>99</v>
      </c>
      <c r="G46" t="s">
        <v>981</v>
      </c>
      <c r="H46" t="s">
        <v>539</v>
      </c>
      <c r="I46" t="s">
        <v>455</v>
      </c>
      <c r="J46" t="s">
        <v>927</v>
      </c>
      <c r="K46" t="s">
        <v>455</v>
      </c>
      <c r="O46" t="s">
        <v>773</v>
      </c>
      <c r="P46" t="s">
        <v>820</v>
      </c>
      <c r="Q46" t="s">
        <v>774</v>
      </c>
    </row>
    <row r="47" spans="1:17">
      <c r="A47" s="47" t="s">
        <v>102</v>
      </c>
      <c r="B47" t="s">
        <v>277</v>
      </c>
      <c r="E47">
        <v>46</v>
      </c>
      <c r="F47" t="s">
        <v>100</v>
      </c>
      <c r="G47" t="s">
        <v>982</v>
      </c>
      <c r="H47" t="s">
        <v>540</v>
      </c>
      <c r="I47" t="s">
        <v>471</v>
      </c>
      <c r="J47" t="s">
        <v>928</v>
      </c>
      <c r="K47" t="s">
        <v>880</v>
      </c>
      <c r="O47" t="s">
        <v>775</v>
      </c>
      <c r="P47" t="s">
        <v>821</v>
      </c>
      <c r="Q47" t="s">
        <v>776</v>
      </c>
    </row>
    <row r="48" spans="1:17">
      <c r="A48" s="47" t="s">
        <v>103</v>
      </c>
      <c r="B48" t="s">
        <v>278</v>
      </c>
      <c r="E48">
        <v>47</v>
      </c>
      <c r="F48" t="s">
        <v>101</v>
      </c>
      <c r="G48" t="s">
        <v>983</v>
      </c>
      <c r="H48" t="s">
        <v>541</v>
      </c>
      <c r="I48" t="s">
        <v>472</v>
      </c>
      <c r="J48" t="s">
        <v>929</v>
      </c>
      <c r="K48" t="s">
        <v>881</v>
      </c>
      <c r="O48" t="s">
        <v>1135</v>
      </c>
      <c r="P48" t="s">
        <v>1188</v>
      </c>
      <c r="Q48" t="s">
        <v>1161</v>
      </c>
    </row>
    <row r="49" spans="1:17">
      <c r="A49" s="47" t="s">
        <v>104</v>
      </c>
      <c r="B49" t="s">
        <v>279</v>
      </c>
      <c r="E49">
        <v>48</v>
      </c>
      <c r="F49" t="s">
        <v>692</v>
      </c>
      <c r="G49" t="s">
        <v>984</v>
      </c>
      <c r="H49" t="s">
        <v>542</v>
      </c>
      <c r="I49" t="s">
        <v>481</v>
      </c>
      <c r="J49" t="s">
        <v>930</v>
      </c>
      <c r="K49" t="s">
        <v>882</v>
      </c>
      <c r="O49" t="s">
        <v>1136</v>
      </c>
      <c r="P49" t="s">
        <v>1189</v>
      </c>
      <c r="Q49" t="s">
        <v>1162</v>
      </c>
    </row>
    <row r="50" spans="1:17">
      <c r="A50" s="47" t="s">
        <v>105</v>
      </c>
      <c r="B50" t="s">
        <v>280</v>
      </c>
      <c r="E50">
        <v>49</v>
      </c>
      <c r="F50" t="s">
        <v>693</v>
      </c>
      <c r="G50" t="s">
        <v>985</v>
      </c>
      <c r="H50" t="s">
        <v>543</v>
      </c>
      <c r="I50" t="s">
        <v>482</v>
      </c>
      <c r="J50" t="s">
        <v>931</v>
      </c>
      <c r="K50" t="s">
        <v>883</v>
      </c>
      <c r="O50" t="s">
        <v>796</v>
      </c>
      <c r="P50" t="s">
        <v>832</v>
      </c>
      <c r="Q50" t="s">
        <v>797</v>
      </c>
    </row>
    <row r="51" spans="1:17">
      <c r="A51" s="47" t="s">
        <v>106</v>
      </c>
      <c r="B51" t="s">
        <v>281</v>
      </c>
      <c r="E51">
        <v>50</v>
      </c>
      <c r="F51" t="s">
        <v>102</v>
      </c>
      <c r="G51" t="s">
        <v>986</v>
      </c>
      <c r="H51" t="s">
        <v>544</v>
      </c>
      <c r="O51" t="s">
        <v>1137</v>
      </c>
      <c r="P51" t="s">
        <v>1190</v>
      </c>
      <c r="Q51" t="s">
        <v>1163</v>
      </c>
    </row>
    <row r="52" spans="1:17">
      <c r="A52" s="47" t="s">
        <v>107</v>
      </c>
      <c r="B52" t="s">
        <v>282</v>
      </c>
      <c r="E52">
        <v>51</v>
      </c>
      <c r="F52" t="s">
        <v>103</v>
      </c>
      <c r="G52" t="s">
        <v>987</v>
      </c>
      <c r="H52" t="s">
        <v>545</v>
      </c>
      <c r="O52" t="s">
        <v>1138</v>
      </c>
      <c r="P52" t="s">
        <v>1191</v>
      </c>
      <c r="Q52" t="s">
        <v>1164</v>
      </c>
    </row>
    <row r="53" spans="1:17">
      <c r="A53" s="47" t="s">
        <v>108</v>
      </c>
      <c r="B53" t="s">
        <v>283</v>
      </c>
      <c r="E53">
        <v>52</v>
      </c>
      <c r="F53" t="s">
        <v>694</v>
      </c>
      <c r="G53" t="s">
        <v>988</v>
      </c>
      <c r="H53" t="s">
        <v>546</v>
      </c>
      <c r="O53" t="s">
        <v>1149</v>
      </c>
      <c r="P53" t="s">
        <v>1203</v>
      </c>
      <c r="Q53" t="s">
        <v>1176</v>
      </c>
    </row>
    <row r="54" spans="1:17">
      <c r="A54" s="47" t="s">
        <v>109</v>
      </c>
      <c r="B54" t="s">
        <v>284</v>
      </c>
      <c r="E54">
        <v>53</v>
      </c>
      <c r="F54" t="s">
        <v>104</v>
      </c>
      <c r="G54" t="s">
        <v>989</v>
      </c>
      <c r="H54" t="s">
        <v>547</v>
      </c>
      <c r="O54" t="s">
        <v>777</v>
      </c>
      <c r="P54" t="s">
        <v>822</v>
      </c>
      <c r="Q54" t="s">
        <v>778</v>
      </c>
    </row>
    <row r="55" spans="1:17">
      <c r="A55" s="47" t="s">
        <v>110</v>
      </c>
      <c r="B55" t="s">
        <v>285</v>
      </c>
      <c r="E55">
        <v>54</v>
      </c>
      <c r="F55" t="s">
        <v>105</v>
      </c>
      <c r="G55" t="s">
        <v>990</v>
      </c>
      <c r="H55" t="s">
        <v>548</v>
      </c>
      <c r="O55" t="s">
        <v>1139</v>
      </c>
      <c r="P55" t="s">
        <v>1192</v>
      </c>
      <c r="Q55" t="s">
        <v>1165</v>
      </c>
    </row>
    <row r="56" spans="1:17">
      <c r="A56" s="47" t="s">
        <v>111</v>
      </c>
      <c r="B56" t="s">
        <v>286</v>
      </c>
      <c r="E56">
        <v>55</v>
      </c>
      <c r="F56" t="s">
        <v>695</v>
      </c>
      <c r="G56" t="s">
        <v>991</v>
      </c>
      <c r="H56" t="s">
        <v>549</v>
      </c>
      <c r="O56" t="s">
        <v>1145</v>
      </c>
      <c r="P56" t="s">
        <v>1199</v>
      </c>
      <c r="Q56" t="s">
        <v>1172</v>
      </c>
    </row>
    <row r="57" spans="1:17">
      <c r="A57" s="47" t="s">
        <v>112</v>
      </c>
      <c r="B57" t="s">
        <v>287</v>
      </c>
      <c r="E57">
        <v>56</v>
      </c>
      <c r="F57" t="s">
        <v>106</v>
      </c>
      <c r="G57" t="s">
        <v>992</v>
      </c>
      <c r="H57" t="s">
        <v>550</v>
      </c>
      <c r="O57" t="s">
        <v>1140</v>
      </c>
      <c r="P57" t="s">
        <v>1193</v>
      </c>
      <c r="Q57" t="s">
        <v>1166</v>
      </c>
    </row>
    <row r="58" spans="1:17">
      <c r="A58" s="47" t="s">
        <v>113</v>
      </c>
      <c r="B58" t="s">
        <v>288</v>
      </c>
      <c r="E58">
        <v>57</v>
      </c>
      <c r="F58" t="s">
        <v>107</v>
      </c>
      <c r="G58" t="s">
        <v>993</v>
      </c>
      <c r="H58" t="s">
        <v>551</v>
      </c>
      <c r="O58" t="s">
        <v>1141</v>
      </c>
      <c r="P58" t="s">
        <v>1194</v>
      </c>
      <c r="Q58" t="s">
        <v>1167</v>
      </c>
    </row>
    <row r="59" spans="1:17">
      <c r="A59" s="47" t="s">
        <v>114</v>
      </c>
      <c r="B59" t="s">
        <v>289</v>
      </c>
      <c r="E59">
        <v>58</v>
      </c>
      <c r="F59" t="s">
        <v>696</v>
      </c>
      <c r="G59" t="s">
        <v>994</v>
      </c>
      <c r="H59" t="s">
        <v>552</v>
      </c>
      <c r="O59" t="s">
        <v>779</v>
      </c>
      <c r="P59" t="s">
        <v>823</v>
      </c>
      <c r="Q59" t="s">
        <v>780</v>
      </c>
    </row>
    <row r="60" spans="1:17">
      <c r="A60" s="47" t="s">
        <v>115</v>
      </c>
      <c r="B60" t="s">
        <v>290</v>
      </c>
      <c r="E60">
        <v>59</v>
      </c>
      <c r="F60" t="s">
        <v>108</v>
      </c>
      <c r="G60" t="s">
        <v>995</v>
      </c>
      <c r="H60" t="s">
        <v>553</v>
      </c>
      <c r="O60" t="s">
        <v>1150</v>
      </c>
      <c r="P60" t="s">
        <v>1204</v>
      </c>
      <c r="Q60" t="s">
        <v>1177</v>
      </c>
    </row>
    <row r="61" spans="1:17">
      <c r="A61" s="47" t="s">
        <v>116</v>
      </c>
      <c r="B61" t="s">
        <v>291</v>
      </c>
      <c r="E61">
        <v>60</v>
      </c>
      <c r="F61" t="s">
        <v>109</v>
      </c>
      <c r="G61" t="s">
        <v>996</v>
      </c>
      <c r="H61" t="s">
        <v>554</v>
      </c>
      <c r="O61" t="s">
        <v>781</v>
      </c>
      <c r="P61" t="s">
        <v>824</v>
      </c>
      <c r="Q61" t="s">
        <v>782</v>
      </c>
    </row>
    <row r="62" spans="1:17">
      <c r="A62" s="47" t="s">
        <v>117</v>
      </c>
      <c r="B62" t="s">
        <v>292</v>
      </c>
      <c r="E62">
        <v>61</v>
      </c>
      <c r="F62" t="s">
        <v>697</v>
      </c>
      <c r="G62" t="s">
        <v>997</v>
      </c>
      <c r="H62" t="s">
        <v>555</v>
      </c>
      <c r="O62" t="s">
        <v>783</v>
      </c>
      <c r="P62" t="s">
        <v>825</v>
      </c>
      <c r="Q62" t="s">
        <v>784</v>
      </c>
    </row>
    <row r="63" spans="1:17">
      <c r="A63" s="47" t="s">
        <v>118</v>
      </c>
      <c r="B63" t="s">
        <v>293</v>
      </c>
      <c r="E63">
        <v>62</v>
      </c>
      <c r="F63" t="s">
        <v>110</v>
      </c>
      <c r="G63" t="s">
        <v>998</v>
      </c>
      <c r="H63" t="s">
        <v>555</v>
      </c>
    </row>
    <row r="64" spans="1:17">
      <c r="A64" s="47" t="s">
        <v>119</v>
      </c>
      <c r="B64" t="s">
        <v>294</v>
      </c>
      <c r="E64">
        <v>63</v>
      </c>
      <c r="F64" t="s">
        <v>111</v>
      </c>
      <c r="G64" t="s">
        <v>999</v>
      </c>
      <c r="H64" t="s">
        <v>556</v>
      </c>
    </row>
    <row r="65" spans="1:8">
      <c r="A65" s="47" t="s">
        <v>120</v>
      </c>
      <c r="B65" t="s">
        <v>295</v>
      </c>
      <c r="E65">
        <v>64</v>
      </c>
      <c r="F65" t="s">
        <v>112</v>
      </c>
      <c r="G65" t="s">
        <v>1000</v>
      </c>
      <c r="H65" t="s">
        <v>557</v>
      </c>
    </row>
    <row r="66" spans="1:8">
      <c r="A66" s="47" t="s">
        <v>121</v>
      </c>
      <c r="B66" t="s">
        <v>296</v>
      </c>
      <c r="E66">
        <v>65</v>
      </c>
      <c r="F66" t="s">
        <v>113</v>
      </c>
      <c r="G66" t="s">
        <v>1001</v>
      </c>
      <c r="H66" t="s">
        <v>558</v>
      </c>
    </row>
    <row r="67" spans="1:8">
      <c r="A67" s="47" t="s">
        <v>122</v>
      </c>
      <c r="B67" t="s">
        <v>297</v>
      </c>
      <c r="E67">
        <v>66</v>
      </c>
      <c r="F67" t="s">
        <v>698</v>
      </c>
      <c r="G67" t="s">
        <v>1002</v>
      </c>
      <c r="H67" t="s">
        <v>559</v>
      </c>
    </row>
    <row r="68" spans="1:8">
      <c r="A68" s="47" t="s">
        <v>123</v>
      </c>
      <c r="B68" t="s">
        <v>298</v>
      </c>
      <c r="E68">
        <v>67</v>
      </c>
      <c r="F68" t="s">
        <v>114</v>
      </c>
      <c r="G68" t="s">
        <v>1003</v>
      </c>
      <c r="H68" t="s">
        <v>560</v>
      </c>
    </row>
    <row r="69" spans="1:8">
      <c r="A69" s="47" t="s">
        <v>124</v>
      </c>
      <c r="B69" t="s">
        <v>299</v>
      </c>
      <c r="E69">
        <v>68</v>
      </c>
      <c r="F69" t="s">
        <v>699</v>
      </c>
      <c r="G69" t="s">
        <v>1004</v>
      </c>
      <c r="H69" t="s">
        <v>561</v>
      </c>
    </row>
    <row r="70" spans="1:8">
      <c r="A70" s="47" t="s">
        <v>125</v>
      </c>
      <c r="B70" t="s">
        <v>300</v>
      </c>
      <c r="E70">
        <v>69</v>
      </c>
      <c r="F70" t="s">
        <v>115</v>
      </c>
      <c r="G70" t="s">
        <v>1005</v>
      </c>
      <c r="H70" t="s">
        <v>562</v>
      </c>
    </row>
    <row r="71" spans="1:8">
      <c r="A71" s="47" t="s">
        <v>126</v>
      </c>
      <c r="B71" t="s">
        <v>301</v>
      </c>
      <c r="E71">
        <v>70</v>
      </c>
      <c r="F71" t="s">
        <v>116</v>
      </c>
      <c r="G71" t="s">
        <v>1006</v>
      </c>
      <c r="H71" t="s">
        <v>563</v>
      </c>
    </row>
    <row r="72" spans="1:8">
      <c r="A72" s="47" t="s">
        <v>127</v>
      </c>
      <c r="B72" t="s">
        <v>302</v>
      </c>
      <c r="E72">
        <v>71</v>
      </c>
      <c r="F72" t="s">
        <v>117</v>
      </c>
      <c r="G72" t="s">
        <v>1007</v>
      </c>
      <c r="H72" t="s">
        <v>564</v>
      </c>
    </row>
    <row r="73" spans="1:8">
      <c r="A73" s="47" t="s">
        <v>128</v>
      </c>
      <c r="B73" t="s">
        <v>303</v>
      </c>
      <c r="E73">
        <v>72</v>
      </c>
      <c r="F73" t="s">
        <v>118</v>
      </c>
      <c r="G73" t="s">
        <v>1008</v>
      </c>
      <c r="H73" t="s">
        <v>565</v>
      </c>
    </row>
    <row r="74" spans="1:8">
      <c r="A74" s="47" t="s">
        <v>129</v>
      </c>
      <c r="B74" t="s">
        <v>304</v>
      </c>
      <c r="E74">
        <v>73</v>
      </c>
      <c r="F74" t="s">
        <v>119</v>
      </c>
      <c r="G74" t="s">
        <v>1009</v>
      </c>
      <c r="H74" t="s">
        <v>566</v>
      </c>
    </row>
    <row r="75" spans="1:8">
      <c r="A75" s="47" t="s">
        <v>130</v>
      </c>
      <c r="B75" t="s">
        <v>305</v>
      </c>
      <c r="E75">
        <v>74</v>
      </c>
      <c r="F75" t="s">
        <v>120</v>
      </c>
      <c r="G75" t="s">
        <v>1010</v>
      </c>
      <c r="H75" t="s">
        <v>567</v>
      </c>
    </row>
    <row r="76" spans="1:8">
      <c r="A76" s="47" t="s">
        <v>131</v>
      </c>
      <c r="B76" t="s">
        <v>306</v>
      </c>
      <c r="E76">
        <v>75</v>
      </c>
      <c r="F76" t="s">
        <v>121</v>
      </c>
      <c r="G76" t="s">
        <v>1011</v>
      </c>
      <c r="H76" t="s">
        <v>568</v>
      </c>
    </row>
    <row r="77" spans="1:8">
      <c r="A77" s="47" t="s">
        <v>132</v>
      </c>
      <c r="B77" t="s">
        <v>307</v>
      </c>
      <c r="E77">
        <v>76</v>
      </c>
      <c r="F77" t="s">
        <v>700</v>
      </c>
      <c r="G77" t="s">
        <v>1012</v>
      </c>
      <c r="H77" t="s">
        <v>569</v>
      </c>
    </row>
    <row r="78" spans="1:8">
      <c r="A78" s="47" t="s">
        <v>133</v>
      </c>
      <c r="B78" t="s">
        <v>308</v>
      </c>
      <c r="E78">
        <v>77</v>
      </c>
      <c r="F78" t="s">
        <v>122</v>
      </c>
      <c r="G78" t="s">
        <v>1013</v>
      </c>
      <c r="H78" t="s">
        <v>570</v>
      </c>
    </row>
    <row r="79" spans="1:8">
      <c r="A79" s="47" t="s">
        <v>134</v>
      </c>
      <c r="B79" t="s">
        <v>309</v>
      </c>
      <c r="E79">
        <v>78</v>
      </c>
      <c r="F79" t="s">
        <v>123</v>
      </c>
      <c r="G79" t="s">
        <v>1014</v>
      </c>
      <c r="H79" t="s">
        <v>571</v>
      </c>
    </row>
    <row r="80" spans="1:8">
      <c r="A80" s="47" t="s">
        <v>135</v>
      </c>
      <c r="B80" t="s">
        <v>310</v>
      </c>
      <c r="E80">
        <v>79</v>
      </c>
      <c r="F80" t="s">
        <v>124</v>
      </c>
      <c r="G80" t="s">
        <v>1015</v>
      </c>
      <c r="H80" t="s">
        <v>572</v>
      </c>
    </row>
    <row r="81" spans="1:8">
      <c r="A81" s="47" t="s">
        <v>136</v>
      </c>
      <c r="B81" t="s">
        <v>311</v>
      </c>
      <c r="E81">
        <v>80</v>
      </c>
      <c r="F81" t="s">
        <v>125</v>
      </c>
      <c r="G81" t="s">
        <v>1016</v>
      </c>
      <c r="H81" t="s">
        <v>573</v>
      </c>
    </row>
    <row r="82" spans="1:8">
      <c r="A82" s="47" t="s">
        <v>137</v>
      </c>
      <c r="B82" t="s">
        <v>312</v>
      </c>
      <c r="E82">
        <v>81</v>
      </c>
      <c r="F82" t="s">
        <v>126</v>
      </c>
      <c r="G82" t="s">
        <v>1017</v>
      </c>
      <c r="H82" t="s">
        <v>574</v>
      </c>
    </row>
    <row r="83" spans="1:8">
      <c r="A83" s="47" t="s">
        <v>138</v>
      </c>
      <c r="B83" t="s">
        <v>313</v>
      </c>
      <c r="E83">
        <v>82</v>
      </c>
      <c r="F83" t="s">
        <v>701</v>
      </c>
      <c r="G83" t="s">
        <v>1018</v>
      </c>
      <c r="H83" t="s">
        <v>575</v>
      </c>
    </row>
    <row r="84" spans="1:8">
      <c r="A84" s="47" t="s">
        <v>139</v>
      </c>
      <c r="B84" t="s">
        <v>314</v>
      </c>
      <c r="E84">
        <v>83</v>
      </c>
      <c r="F84" t="s">
        <v>127</v>
      </c>
      <c r="G84" t="s">
        <v>1019</v>
      </c>
      <c r="H84" t="s">
        <v>576</v>
      </c>
    </row>
    <row r="85" spans="1:8">
      <c r="A85" s="47" t="s">
        <v>140</v>
      </c>
      <c r="B85" t="s">
        <v>315</v>
      </c>
      <c r="E85">
        <v>84</v>
      </c>
      <c r="F85" t="s">
        <v>128</v>
      </c>
      <c r="G85" t="s">
        <v>1020</v>
      </c>
      <c r="H85" t="s">
        <v>577</v>
      </c>
    </row>
    <row r="86" spans="1:8">
      <c r="A86" s="47" t="s">
        <v>141</v>
      </c>
      <c r="B86" t="s">
        <v>316</v>
      </c>
      <c r="E86">
        <v>85</v>
      </c>
      <c r="F86" t="s">
        <v>129</v>
      </c>
      <c r="G86" t="s">
        <v>1021</v>
      </c>
      <c r="H86" t="s">
        <v>578</v>
      </c>
    </row>
    <row r="87" spans="1:8">
      <c r="A87" s="47" t="s">
        <v>142</v>
      </c>
      <c r="B87" t="s">
        <v>317</v>
      </c>
      <c r="E87">
        <v>86</v>
      </c>
      <c r="F87" t="s">
        <v>130</v>
      </c>
      <c r="G87" t="s">
        <v>1022</v>
      </c>
      <c r="H87" t="s">
        <v>579</v>
      </c>
    </row>
    <row r="88" spans="1:8">
      <c r="A88" s="47" t="s">
        <v>143</v>
      </c>
      <c r="B88" t="s">
        <v>318</v>
      </c>
      <c r="E88">
        <v>87</v>
      </c>
      <c r="F88" t="s">
        <v>131</v>
      </c>
      <c r="G88" t="s">
        <v>1023</v>
      </c>
      <c r="H88" t="s">
        <v>580</v>
      </c>
    </row>
    <row r="89" spans="1:8">
      <c r="A89" s="47" t="s">
        <v>144</v>
      </c>
      <c r="B89" t="s">
        <v>319</v>
      </c>
      <c r="E89">
        <v>88</v>
      </c>
      <c r="F89" t="s">
        <v>132</v>
      </c>
      <c r="G89" t="s">
        <v>1024</v>
      </c>
      <c r="H89" t="s">
        <v>581</v>
      </c>
    </row>
    <row r="90" spans="1:8">
      <c r="A90" s="47" t="s">
        <v>145</v>
      </c>
      <c r="B90" t="s">
        <v>320</v>
      </c>
      <c r="E90">
        <v>89</v>
      </c>
      <c r="F90" t="s">
        <v>133</v>
      </c>
      <c r="G90" t="s">
        <v>1025</v>
      </c>
      <c r="H90" t="s">
        <v>582</v>
      </c>
    </row>
    <row r="91" spans="1:8">
      <c r="A91" s="47" t="s">
        <v>146</v>
      </c>
      <c r="B91" t="s">
        <v>321</v>
      </c>
      <c r="E91">
        <v>90</v>
      </c>
      <c r="F91" t="s">
        <v>134</v>
      </c>
      <c r="G91" t="s">
        <v>1026</v>
      </c>
      <c r="H91" t="s">
        <v>583</v>
      </c>
    </row>
    <row r="92" spans="1:8">
      <c r="A92" s="47" t="s">
        <v>147</v>
      </c>
      <c r="B92" t="s">
        <v>322</v>
      </c>
      <c r="E92">
        <v>91</v>
      </c>
      <c r="F92" t="s">
        <v>135</v>
      </c>
      <c r="G92" t="s">
        <v>1027</v>
      </c>
      <c r="H92" t="s">
        <v>584</v>
      </c>
    </row>
    <row r="93" spans="1:8">
      <c r="A93" s="47" t="s">
        <v>148</v>
      </c>
      <c r="B93" t="s">
        <v>323</v>
      </c>
      <c r="E93">
        <v>92</v>
      </c>
      <c r="F93" t="s">
        <v>136</v>
      </c>
      <c r="G93" t="s">
        <v>1028</v>
      </c>
      <c r="H93" t="s">
        <v>585</v>
      </c>
    </row>
    <row r="94" spans="1:8">
      <c r="A94" s="47" t="s">
        <v>149</v>
      </c>
      <c r="B94" t="s">
        <v>324</v>
      </c>
      <c r="E94">
        <v>93</v>
      </c>
      <c r="F94" t="s">
        <v>137</v>
      </c>
      <c r="G94" t="s">
        <v>1029</v>
      </c>
      <c r="H94" t="s">
        <v>586</v>
      </c>
    </row>
    <row r="95" spans="1:8">
      <c r="A95" s="47" t="s">
        <v>150</v>
      </c>
      <c r="B95" t="s">
        <v>325</v>
      </c>
      <c r="E95">
        <v>94</v>
      </c>
      <c r="F95" t="s">
        <v>138</v>
      </c>
      <c r="G95" t="s">
        <v>1030</v>
      </c>
      <c r="H95" t="s">
        <v>587</v>
      </c>
    </row>
    <row r="96" spans="1:8">
      <c r="A96" s="47" t="s">
        <v>151</v>
      </c>
      <c r="B96" t="s">
        <v>326</v>
      </c>
      <c r="E96">
        <v>95</v>
      </c>
      <c r="F96" t="s">
        <v>139</v>
      </c>
      <c r="G96" t="s">
        <v>1031</v>
      </c>
      <c r="H96" t="s">
        <v>588</v>
      </c>
    </row>
    <row r="97" spans="1:8">
      <c r="A97" s="47" t="s">
        <v>152</v>
      </c>
      <c r="B97" t="s">
        <v>327</v>
      </c>
      <c r="E97">
        <v>96</v>
      </c>
      <c r="F97" t="s">
        <v>140</v>
      </c>
      <c r="G97" t="s">
        <v>1032</v>
      </c>
      <c r="H97" t="s">
        <v>589</v>
      </c>
    </row>
    <row r="98" spans="1:8">
      <c r="A98" s="47" t="s">
        <v>153</v>
      </c>
      <c r="B98" t="s">
        <v>328</v>
      </c>
      <c r="E98">
        <v>97</v>
      </c>
      <c r="F98" t="s">
        <v>141</v>
      </c>
      <c r="G98" t="s">
        <v>1033</v>
      </c>
      <c r="H98" t="s">
        <v>590</v>
      </c>
    </row>
    <row r="99" spans="1:8">
      <c r="A99" s="47" t="s">
        <v>154</v>
      </c>
      <c r="B99" t="s">
        <v>329</v>
      </c>
      <c r="E99">
        <v>98</v>
      </c>
      <c r="F99" t="s">
        <v>142</v>
      </c>
      <c r="G99" t="s">
        <v>1034</v>
      </c>
      <c r="H99" t="s">
        <v>591</v>
      </c>
    </row>
    <row r="100" spans="1:8">
      <c r="A100" s="47" t="s">
        <v>155</v>
      </c>
      <c r="B100" t="s">
        <v>330</v>
      </c>
      <c r="E100">
        <v>99</v>
      </c>
      <c r="F100" t="s">
        <v>143</v>
      </c>
      <c r="G100" t="s">
        <v>1035</v>
      </c>
      <c r="H100" t="s">
        <v>592</v>
      </c>
    </row>
    <row r="101" spans="1:8">
      <c r="A101" s="47" t="s">
        <v>156</v>
      </c>
      <c r="B101" t="s">
        <v>331</v>
      </c>
      <c r="E101">
        <v>100</v>
      </c>
      <c r="F101" t="s">
        <v>702</v>
      </c>
      <c r="G101" t="s">
        <v>1036</v>
      </c>
      <c r="H101" t="s">
        <v>593</v>
      </c>
    </row>
    <row r="102" spans="1:8">
      <c r="A102" s="47" t="s">
        <v>157</v>
      </c>
      <c r="B102" t="s">
        <v>332</v>
      </c>
      <c r="E102">
        <v>101</v>
      </c>
      <c r="F102" t="s">
        <v>703</v>
      </c>
      <c r="G102" t="s">
        <v>1037</v>
      </c>
      <c r="H102" t="s">
        <v>594</v>
      </c>
    </row>
    <row r="103" spans="1:8">
      <c r="A103" s="47" t="s">
        <v>158</v>
      </c>
      <c r="B103" t="s">
        <v>333</v>
      </c>
      <c r="E103">
        <v>102</v>
      </c>
      <c r="F103" t="s">
        <v>704</v>
      </c>
      <c r="G103" t="s">
        <v>1038</v>
      </c>
      <c r="H103" t="s">
        <v>595</v>
      </c>
    </row>
    <row r="104" spans="1:8">
      <c r="A104" s="47" t="s">
        <v>159</v>
      </c>
      <c r="B104" t="s">
        <v>334</v>
      </c>
      <c r="E104">
        <v>103</v>
      </c>
      <c r="F104" t="s">
        <v>144</v>
      </c>
      <c r="G104" t="s">
        <v>1039</v>
      </c>
      <c r="H104" t="s">
        <v>596</v>
      </c>
    </row>
    <row r="105" spans="1:8">
      <c r="A105" s="47" t="s">
        <v>160</v>
      </c>
      <c r="B105" t="s">
        <v>335</v>
      </c>
      <c r="E105">
        <v>104</v>
      </c>
      <c r="F105" t="s">
        <v>145</v>
      </c>
      <c r="G105" t="s">
        <v>1040</v>
      </c>
      <c r="H105" t="s">
        <v>597</v>
      </c>
    </row>
    <row r="106" spans="1:8">
      <c r="A106" s="47" t="s">
        <v>161</v>
      </c>
      <c r="B106" t="s">
        <v>336</v>
      </c>
      <c r="E106">
        <v>105</v>
      </c>
      <c r="F106" t="s">
        <v>146</v>
      </c>
      <c r="G106" t="s">
        <v>1041</v>
      </c>
      <c r="H106" t="s">
        <v>598</v>
      </c>
    </row>
    <row r="107" spans="1:8">
      <c r="A107" s="47" t="s">
        <v>162</v>
      </c>
      <c r="B107" t="s">
        <v>337</v>
      </c>
      <c r="E107">
        <v>106</v>
      </c>
      <c r="F107" t="s">
        <v>705</v>
      </c>
      <c r="G107" t="s">
        <v>1042</v>
      </c>
      <c r="H107" t="s">
        <v>599</v>
      </c>
    </row>
    <row r="108" spans="1:8">
      <c r="A108" s="47" t="s">
        <v>163</v>
      </c>
      <c r="B108" t="s">
        <v>338</v>
      </c>
      <c r="E108">
        <v>107</v>
      </c>
      <c r="F108" t="s">
        <v>148</v>
      </c>
      <c r="G108" t="s">
        <v>1043</v>
      </c>
      <c r="H108" t="s">
        <v>600</v>
      </c>
    </row>
    <row r="109" spans="1:8">
      <c r="A109" s="47" t="s">
        <v>164</v>
      </c>
      <c r="B109" t="s">
        <v>339</v>
      </c>
      <c r="E109">
        <v>108</v>
      </c>
      <c r="F109" t="s">
        <v>149</v>
      </c>
      <c r="G109" t="s">
        <v>1044</v>
      </c>
      <c r="H109" t="s">
        <v>601</v>
      </c>
    </row>
    <row r="110" spans="1:8">
      <c r="A110" s="47" t="s">
        <v>165</v>
      </c>
      <c r="B110" t="s">
        <v>340</v>
      </c>
      <c r="E110">
        <v>109</v>
      </c>
      <c r="F110" t="s">
        <v>150</v>
      </c>
      <c r="G110" t="s">
        <v>1045</v>
      </c>
      <c r="H110" t="s">
        <v>602</v>
      </c>
    </row>
    <row r="111" spans="1:8">
      <c r="A111" s="47" t="s">
        <v>166</v>
      </c>
      <c r="B111" t="s">
        <v>131</v>
      </c>
      <c r="E111">
        <v>110</v>
      </c>
      <c r="F111" t="s">
        <v>151</v>
      </c>
      <c r="G111" t="s">
        <v>1046</v>
      </c>
      <c r="H111" t="s">
        <v>603</v>
      </c>
    </row>
    <row r="112" spans="1:8">
      <c r="A112" s="47" t="s">
        <v>167</v>
      </c>
      <c r="B112" t="s">
        <v>341</v>
      </c>
      <c r="E112">
        <v>111</v>
      </c>
      <c r="F112" t="s">
        <v>706</v>
      </c>
      <c r="G112" t="s">
        <v>1047</v>
      </c>
      <c r="H112" t="s">
        <v>604</v>
      </c>
    </row>
    <row r="113" spans="1:8">
      <c r="A113" s="47" t="s">
        <v>168</v>
      </c>
      <c r="B113" t="s">
        <v>342</v>
      </c>
      <c r="E113">
        <v>112</v>
      </c>
      <c r="F113" t="s">
        <v>707</v>
      </c>
      <c r="G113" t="s">
        <v>1048</v>
      </c>
      <c r="H113" t="s">
        <v>605</v>
      </c>
    </row>
    <row r="114" spans="1:8">
      <c r="A114" s="47" t="s">
        <v>169</v>
      </c>
      <c r="B114" t="s">
        <v>343</v>
      </c>
      <c r="E114">
        <v>113</v>
      </c>
      <c r="F114" t="s">
        <v>153</v>
      </c>
      <c r="G114" t="s">
        <v>1049</v>
      </c>
      <c r="H114" t="s">
        <v>606</v>
      </c>
    </row>
    <row r="115" spans="1:8">
      <c r="A115" s="47" t="s">
        <v>170</v>
      </c>
      <c r="B115" t="s">
        <v>344</v>
      </c>
      <c r="E115">
        <v>114</v>
      </c>
      <c r="F115" t="s">
        <v>154</v>
      </c>
      <c r="G115" t="s">
        <v>1050</v>
      </c>
      <c r="H115" t="s">
        <v>607</v>
      </c>
    </row>
    <row r="116" spans="1:8">
      <c r="A116" s="47" t="s">
        <v>171</v>
      </c>
      <c r="B116" t="s">
        <v>345</v>
      </c>
      <c r="E116">
        <v>115</v>
      </c>
      <c r="F116" t="s">
        <v>155</v>
      </c>
      <c r="G116" t="s">
        <v>1051</v>
      </c>
      <c r="H116" t="s">
        <v>608</v>
      </c>
    </row>
    <row r="117" spans="1:8">
      <c r="A117" s="47" t="s">
        <v>172</v>
      </c>
      <c r="B117" t="s">
        <v>346</v>
      </c>
      <c r="E117">
        <v>116</v>
      </c>
      <c r="F117" t="s">
        <v>156</v>
      </c>
      <c r="G117" t="s">
        <v>1052</v>
      </c>
      <c r="H117" t="s">
        <v>609</v>
      </c>
    </row>
    <row r="118" spans="1:8">
      <c r="A118" s="47" t="s">
        <v>173</v>
      </c>
      <c r="B118" t="s">
        <v>347</v>
      </c>
      <c r="E118">
        <v>117</v>
      </c>
      <c r="F118" t="s">
        <v>158</v>
      </c>
      <c r="G118" t="s">
        <v>1053</v>
      </c>
      <c r="H118" t="s">
        <v>610</v>
      </c>
    </row>
    <row r="119" spans="1:8">
      <c r="A119" s="47" t="s">
        <v>174</v>
      </c>
      <c r="B119" t="s">
        <v>348</v>
      </c>
      <c r="E119">
        <v>118</v>
      </c>
      <c r="F119" t="s">
        <v>708</v>
      </c>
      <c r="G119" t="s">
        <v>1054</v>
      </c>
      <c r="H119" t="s">
        <v>611</v>
      </c>
    </row>
    <row r="120" spans="1:8">
      <c r="A120" s="47" t="s">
        <v>175</v>
      </c>
      <c r="B120" t="s">
        <v>349</v>
      </c>
      <c r="E120">
        <v>119</v>
      </c>
      <c r="F120" t="s">
        <v>159</v>
      </c>
      <c r="G120" t="s">
        <v>1055</v>
      </c>
      <c r="H120" t="s">
        <v>611</v>
      </c>
    </row>
    <row r="121" spans="1:8">
      <c r="A121" s="47" t="s">
        <v>176</v>
      </c>
      <c r="B121" t="s">
        <v>350</v>
      </c>
      <c r="E121">
        <v>120</v>
      </c>
      <c r="F121" t="s">
        <v>160</v>
      </c>
      <c r="G121" t="s">
        <v>1056</v>
      </c>
      <c r="H121" t="s">
        <v>612</v>
      </c>
    </row>
    <row r="122" spans="1:8">
      <c r="A122" s="47" t="s">
        <v>177</v>
      </c>
      <c r="B122" t="s">
        <v>351</v>
      </c>
      <c r="E122">
        <v>121</v>
      </c>
      <c r="F122" t="s">
        <v>161</v>
      </c>
      <c r="G122" t="s">
        <v>1057</v>
      </c>
      <c r="H122" t="s">
        <v>613</v>
      </c>
    </row>
    <row r="123" spans="1:8">
      <c r="A123" s="47" t="s">
        <v>178</v>
      </c>
      <c r="B123" t="s">
        <v>352</v>
      </c>
      <c r="E123">
        <v>122</v>
      </c>
      <c r="F123" t="s">
        <v>162</v>
      </c>
      <c r="G123" t="s">
        <v>1058</v>
      </c>
      <c r="H123" t="s">
        <v>614</v>
      </c>
    </row>
    <row r="124" spans="1:8">
      <c r="A124" s="47" t="s">
        <v>179</v>
      </c>
      <c r="B124" t="s">
        <v>353</v>
      </c>
      <c r="E124">
        <v>123</v>
      </c>
      <c r="F124" t="s">
        <v>709</v>
      </c>
      <c r="G124" t="s">
        <v>1059</v>
      </c>
      <c r="H124" t="s">
        <v>615</v>
      </c>
    </row>
    <row r="125" spans="1:8">
      <c r="A125" s="47" t="s">
        <v>180</v>
      </c>
      <c r="B125" t="s">
        <v>354</v>
      </c>
      <c r="E125">
        <v>124</v>
      </c>
      <c r="F125" t="s">
        <v>163</v>
      </c>
      <c r="G125" t="s">
        <v>1060</v>
      </c>
      <c r="H125" t="s">
        <v>616</v>
      </c>
    </row>
    <row r="126" spans="1:8">
      <c r="A126" s="47" t="s">
        <v>181</v>
      </c>
      <c r="B126" t="s">
        <v>355</v>
      </c>
      <c r="E126">
        <v>125</v>
      </c>
      <c r="F126" t="s">
        <v>164</v>
      </c>
      <c r="G126" t="s">
        <v>1061</v>
      </c>
      <c r="H126" t="s">
        <v>617</v>
      </c>
    </row>
    <row r="127" spans="1:8">
      <c r="A127" s="47" t="s">
        <v>182</v>
      </c>
      <c r="B127" t="s">
        <v>356</v>
      </c>
      <c r="E127">
        <v>126</v>
      </c>
      <c r="F127" t="s">
        <v>165</v>
      </c>
      <c r="G127" t="s">
        <v>1062</v>
      </c>
      <c r="H127" t="s">
        <v>618</v>
      </c>
    </row>
    <row r="128" spans="1:8">
      <c r="A128" s="47" t="s">
        <v>183</v>
      </c>
      <c r="B128" t="s">
        <v>357</v>
      </c>
      <c r="E128">
        <v>127</v>
      </c>
      <c r="F128" t="s">
        <v>166</v>
      </c>
      <c r="G128" t="s">
        <v>1063</v>
      </c>
      <c r="H128" t="s">
        <v>619</v>
      </c>
    </row>
    <row r="129" spans="1:8">
      <c r="A129" s="47" t="s">
        <v>184</v>
      </c>
      <c r="B129" t="s">
        <v>358</v>
      </c>
      <c r="E129">
        <v>128</v>
      </c>
      <c r="F129" t="s">
        <v>167</v>
      </c>
      <c r="G129" t="s">
        <v>1064</v>
      </c>
      <c r="H129" t="s">
        <v>620</v>
      </c>
    </row>
    <row r="130" spans="1:8">
      <c r="A130" s="47" t="s">
        <v>185</v>
      </c>
      <c r="B130" t="s">
        <v>359</v>
      </c>
      <c r="E130">
        <v>129</v>
      </c>
      <c r="F130" t="s">
        <v>168</v>
      </c>
      <c r="G130" t="s">
        <v>1065</v>
      </c>
      <c r="H130" t="s">
        <v>621</v>
      </c>
    </row>
    <row r="131" spans="1:8">
      <c r="A131" s="47" t="s">
        <v>186</v>
      </c>
      <c r="B131" t="s">
        <v>360</v>
      </c>
      <c r="E131">
        <v>130</v>
      </c>
      <c r="F131" t="s">
        <v>169</v>
      </c>
      <c r="G131" t="s">
        <v>1066</v>
      </c>
      <c r="H131" t="s">
        <v>622</v>
      </c>
    </row>
    <row r="132" spans="1:8">
      <c r="A132" s="47" t="s">
        <v>187</v>
      </c>
      <c r="B132" t="s">
        <v>361</v>
      </c>
      <c r="E132">
        <v>131</v>
      </c>
      <c r="F132" t="s">
        <v>170</v>
      </c>
      <c r="G132" t="s">
        <v>1067</v>
      </c>
      <c r="H132" t="s">
        <v>623</v>
      </c>
    </row>
    <row r="133" spans="1:8">
      <c r="A133" s="47" t="s">
        <v>188</v>
      </c>
      <c r="B133" t="s">
        <v>362</v>
      </c>
      <c r="E133">
        <v>132</v>
      </c>
      <c r="F133" t="s">
        <v>171</v>
      </c>
      <c r="G133" t="s">
        <v>1068</v>
      </c>
      <c r="H133" t="s">
        <v>624</v>
      </c>
    </row>
    <row r="134" spans="1:8">
      <c r="A134" s="47" t="s">
        <v>189</v>
      </c>
      <c r="B134" t="s">
        <v>363</v>
      </c>
      <c r="E134">
        <v>133</v>
      </c>
      <c r="F134" t="s">
        <v>172</v>
      </c>
      <c r="G134" t="s">
        <v>1069</v>
      </c>
      <c r="H134" t="s">
        <v>625</v>
      </c>
    </row>
    <row r="135" spans="1:8">
      <c r="A135" s="47" t="s">
        <v>190</v>
      </c>
      <c r="B135" t="s">
        <v>364</v>
      </c>
      <c r="E135">
        <v>134</v>
      </c>
      <c r="F135" t="s">
        <v>710</v>
      </c>
      <c r="G135" t="s">
        <v>1070</v>
      </c>
      <c r="H135" t="s">
        <v>626</v>
      </c>
    </row>
    <row r="136" spans="1:8">
      <c r="A136" s="47" t="s">
        <v>191</v>
      </c>
      <c r="B136" t="s">
        <v>365</v>
      </c>
      <c r="E136">
        <v>135</v>
      </c>
      <c r="F136" t="s">
        <v>173</v>
      </c>
      <c r="G136" t="s">
        <v>1071</v>
      </c>
      <c r="H136" t="s">
        <v>627</v>
      </c>
    </row>
    <row r="137" spans="1:8">
      <c r="A137" s="47" t="s">
        <v>192</v>
      </c>
      <c r="B137" t="s">
        <v>366</v>
      </c>
      <c r="E137">
        <v>136</v>
      </c>
      <c r="F137" t="s">
        <v>174</v>
      </c>
      <c r="G137" t="s">
        <v>1072</v>
      </c>
      <c r="H137" t="s">
        <v>628</v>
      </c>
    </row>
    <row r="138" spans="1:8">
      <c r="A138" s="47" t="s">
        <v>195</v>
      </c>
      <c r="B138" t="s">
        <v>367</v>
      </c>
      <c r="E138">
        <v>137</v>
      </c>
      <c r="F138" t="s">
        <v>711</v>
      </c>
      <c r="G138" t="s">
        <v>1073</v>
      </c>
      <c r="H138" t="s">
        <v>629</v>
      </c>
    </row>
    <row r="139" spans="1:8">
      <c r="A139" s="47" t="s">
        <v>196</v>
      </c>
      <c r="B139" t="s">
        <v>368</v>
      </c>
      <c r="E139">
        <v>138</v>
      </c>
      <c r="F139" t="s">
        <v>452</v>
      </c>
      <c r="G139" t="s">
        <v>1074</v>
      </c>
      <c r="H139" t="s">
        <v>630</v>
      </c>
    </row>
    <row r="140" spans="1:8">
      <c r="A140" s="47" t="s">
        <v>197</v>
      </c>
      <c r="B140" t="s">
        <v>369</v>
      </c>
      <c r="E140">
        <v>139</v>
      </c>
      <c r="F140" t="s">
        <v>177</v>
      </c>
      <c r="G140" t="s">
        <v>1075</v>
      </c>
      <c r="H140" t="s">
        <v>631</v>
      </c>
    </row>
    <row r="141" spans="1:8">
      <c r="A141" s="47" t="s">
        <v>198</v>
      </c>
      <c r="B141" t="s">
        <v>370</v>
      </c>
      <c r="E141">
        <v>140</v>
      </c>
      <c r="F141" t="s">
        <v>178</v>
      </c>
      <c r="G141" t="s">
        <v>1076</v>
      </c>
      <c r="H141" t="s">
        <v>632</v>
      </c>
    </row>
    <row r="142" spans="1:8">
      <c r="A142" s="47" t="s">
        <v>199</v>
      </c>
      <c r="B142" t="s">
        <v>371</v>
      </c>
      <c r="E142">
        <v>141</v>
      </c>
      <c r="F142" t="s">
        <v>179</v>
      </c>
      <c r="G142" t="s">
        <v>1077</v>
      </c>
      <c r="H142" t="s">
        <v>633</v>
      </c>
    </row>
    <row r="143" spans="1:8">
      <c r="A143" s="47" t="s">
        <v>200</v>
      </c>
      <c r="B143" t="s">
        <v>372</v>
      </c>
      <c r="E143">
        <v>142</v>
      </c>
      <c r="F143" t="s">
        <v>180</v>
      </c>
      <c r="G143" t="s">
        <v>1078</v>
      </c>
      <c r="H143" t="s">
        <v>634</v>
      </c>
    </row>
    <row r="144" spans="1:8">
      <c r="A144" s="47" t="s">
        <v>201</v>
      </c>
      <c r="B144" t="s">
        <v>373</v>
      </c>
      <c r="E144">
        <v>143</v>
      </c>
      <c r="F144" t="s">
        <v>181</v>
      </c>
      <c r="G144" t="s">
        <v>1079</v>
      </c>
      <c r="H144" t="s">
        <v>635</v>
      </c>
    </row>
    <row r="145" spans="1:8">
      <c r="A145" s="47" t="s">
        <v>202</v>
      </c>
      <c r="B145" t="s">
        <v>374</v>
      </c>
      <c r="E145">
        <v>144</v>
      </c>
      <c r="F145" t="s">
        <v>712</v>
      </c>
      <c r="G145" t="s">
        <v>1080</v>
      </c>
      <c r="H145" t="s">
        <v>636</v>
      </c>
    </row>
    <row r="146" spans="1:8">
      <c r="A146" s="47" t="s">
        <v>203</v>
      </c>
      <c r="B146" t="s">
        <v>375</v>
      </c>
      <c r="E146">
        <v>145</v>
      </c>
      <c r="F146" t="s">
        <v>183</v>
      </c>
      <c r="G146" t="s">
        <v>1081</v>
      </c>
      <c r="H146" t="s">
        <v>637</v>
      </c>
    </row>
    <row r="147" spans="1:8">
      <c r="A147" s="47" t="s">
        <v>204</v>
      </c>
      <c r="B147" t="s">
        <v>376</v>
      </c>
      <c r="E147">
        <v>146</v>
      </c>
      <c r="F147" t="s">
        <v>184</v>
      </c>
      <c r="G147" t="s">
        <v>1082</v>
      </c>
      <c r="H147" t="s">
        <v>638</v>
      </c>
    </row>
    <row r="148" spans="1:8">
      <c r="A148" s="47" t="s">
        <v>205</v>
      </c>
      <c r="B148" t="s">
        <v>377</v>
      </c>
      <c r="E148">
        <v>147</v>
      </c>
      <c r="F148" t="s">
        <v>185</v>
      </c>
      <c r="G148" t="s">
        <v>1083</v>
      </c>
      <c r="H148" t="s">
        <v>639</v>
      </c>
    </row>
    <row r="149" spans="1:8">
      <c r="A149" s="47" t="s">
        <v>206</v>
      </c>
      <c r="B149" t="s">
        <v>378</v>
      </c>
      <c r="E149">
        <v>148</v>
      </c>
      <c r="F149" t="s">
        <v>713</v>
      </c>
      <c r="G149" t="s">
        <v>1084</v>
      </c>
      <c r="H149" t="s">
        <v>640</v>
      </c>
    </row>
    <row r="150" spans="1:8">
      <c r="A150" s="47" t="s">
        <v>207</v>
      </c>
      <c r="B150" t="s">
        <v>379</v>
      </c>
      <c r="E150">
        <v>149</v>
      </c>
      <c r="F150" t="s">
        <v>714</v>
      </c>
      <c r="G150" t="s">
        <v>1085</v>
      </c>
      <c r="H150" t="s">
        <v>641</v>
      </c>
    </row>
    <row r="151" spans="1:8">
      <c r="A151" s="47" t="s">
        <v>208</v>
      </c>
      <c r="B151" t="s">
        <v>380</v>
      </c>
      <c r="E151">
        <v>150</v>
      </c>
      <c r="F151" t="s">
        <v>186</v>
      </c>
      <c r="G151" t="s">
        <v>1086</v>
      </c>
      <c r="H151" t="s">
        <v>642</v>
      </c>
    </row>
    <row r="152" spans="1:8">
      <c r="A152" s="47" t="s">
        <v>209</v>
      </c>
      <c r="B152" t="s">
        <v>381</v>
      </c>
      <c r="E152">
        <v>151</v>
      </c>
      <c r="F152" t="s">
        <v>187</v>
      </c>
      <c r="G152" t="s">
        <v>1087</v>
      </c>
      <c r="H152" t="s">
        <v>643</v>
      </c>
    </row>
    <row r="153" spans="1:8">
      <c r="A153" s="47" t="s">
        <v>210</v>
      </c>
      <c r="B153" t="s">
        <v>382</v>
      </c>
      <c r="E153">
        <v>152</v>
      </c>
      <c r="F153" t="s">
        <v>715</v>
      </c>
      <c r="G153" t="s">
        <v>1088</v>
      </c>
      <c r="H153" t="s">
        <v>644</v>
      </c>
    </row>
    <row r="154" spans="1:8">
      <c r="A154" s="47" t="s">
        <v>211</v>
      </c>
      <c r="B154" t="s">
        <v>383</v>
      </c>
      <c r="E154">
        <v>153</v>
      </c>
      <c r="F154" t="s">
        <v>716</v>
      </c>
      <c r="G154" t="s">
        <v>1089</v>
      </c>
      <c r="H154" t="s">
        <v>645</v>
      </c>
    </row>
    <row r="155" spans="1:8">
      <c r="A155" s="47" t="s">
        <v>212</v>
      </c>
      <c r="B155" t="s">
        <v>384</v>
      </c>
      <c r="E155">
        <v>154</v>
      </c>
      <c r="F155" t="s">
        <v>191</v>
      </c>
      <c r="G155" t="s">
        <v>1090</v>
      </c>
      <c r="H155" t="s">
        <v>646</v>
      </c>
    </row>
    <row r="156" spans="1:8">
      <c r="A156" s="47" t="s">
        <v>213</v>
      </c>
      <c r="B156" t="s">
        <v>385</v>
      </c>
      <c r="E156">
        <v>155</v>
      </c>
      <c r="F156" t="s">
        <v>192</v>
      </c>
      <c r="G156" t="s">
        <v>1091</v>
      </c>
      <c r="H156" t="s">
        <v>647</v>
      </c>
    </row>
    <row r="157" spans="1:8">
      <c r="A157" s="47" t="s">
        <v>214</v>
      </c>
      <c r="B157" t="s">
        <v>386</v>
      </c>
      <c r="E157">
        <v>156</v>
      </c>
      <c r="F157" t="s">
        <v>193</v>
      </c>
      <c r="G157" t="s">
        <v>1092</v>
      </c>
      <c r="H157" t="s">
        <v>648</v>
      </c>
    </row>
    <row r="158" spans="1:8">
      <c r="A158" s="47" t="s">
        <v>215</v>
      </c>
      <c r="B158" t="s">
        <v>387</v>
      </c>
      <c r="E158">
        <v>157</v>
      </c>
      <c r="F158" t="s">
        <v>194</v>
      </c>
      <c r="G158" t="s">
        <v>1093</v>
      </c>
      <c r="H158" t="s">
        <v>649</v>
      </c>
    </row>
    <row r="159" spans="1:8">
      <c r="A159" s="47" t="s">
        <v>216</v>
      </c>
      <c r="B159" t="s">
        <v>388</v>
      </c>
      <c r="E159">
        <v>158</v>
      </c>
      <c r="F159" t="s">
        <v>717</v>
      </c>
      <c r="G159" t="s">
        <v>1094</v>
      </c>
      <c r="H159" t="s">
        <v>650</v>
      </c>
    </row>
    <row r="160" spans="1:8">
      <c r="A160" s="47" t="s">
        <v>217</v>
      </c>
      <c r="B160" t="s">
        <v>389</v>
      </c>
      <c r="E160">
        <v>159</v>
      </c>
      <c r="F160" t="s">
        <v>718</v>
      </c>
      <c r="G160" t="s">
        <v>1095</v>
      </c>
      <c r="H160" t="s">
        <v>651</v>
      </c>
    </row>
    <row r="161" spans="1:8">
      <c r="A161" s="47" t="s">
        <v>218</v>
      </c>
      <c r="B161" t="s">
        <v>390</v>
      </c>
      <c r="E161">
        <v>160</v>
      </c>
      <c r="F161" t="s">
        <v>197</v>
      </c>
      <c r="G161" t="s">
        <v>1096</v>
      </c>
      <c r="H161" t="s">
        <v>652</v>
      </c>
    </row>
    <row r="162" spans="1:8">
      <c r="A162" s="47" t="s">
        <v>219</v>
      </c>
      <c r="B162" t="s">
        <v>391</v>
      </c>
      <c r="E162">
        <v>161</v>
      </c>
      <c r="F162" t="s">
        <v>198</v>
      </c>
      <c r="G162" t="s">
        <v>1097</v>
      </c>
      <c r="H162" t="s">
        <v>653</v>
      </c>
    </row>
    <row r="163" spans="1:8">
      <c r="A163" s="47" t="s">
        <v>220</v>
      </c>
      <c r="B163" t="s">
        <v>392</v>
      </c>
      <c r="E163">
        <v>162</v>
      </c>
      <c r="F163" t="s">
        <v>719</v>
      </c>
      <c r="G163" t="s">
        <v>1098</v>
      </c>
      <c r="H163" t="s">
        <v>654</v>
      </c>
    </row>
    <row r="164" spans="1:8">
      <c r="A164" s="47" t="s">
        <v>221</v>
      </c>
      <c r="B164" t="s">
        <v>393</v>
      </c>
      <c r="E164">
        <v>163</v>
      </c>
      <c r="F164" t="s">
        <v>720</v>
      </c>
      <c r="G164" t="s">
        <v>1099</v>
      </c>
      <c r="H164" t="s">
        <v>655</v>
      </c>
    </row>
    <row r="165" spans="1:8">
      <c r="A165" s="47" t="s">
        <v>222</v>
      </c>
      <c r="B165" t="s">
        <v>394</v>
      </c>
      <c r="E165">
        <v>164</v>
      </c>
      <c r="F165" t="s">
        <v>199</v>
      </c>
      <c r="G165" t="s">
        <v>1100</v>
      </c>
      <c r="H165" t="s">
        <v>655</v>
      </c>
    </row>
    <row r="166" spans="1:8">
      <c r="A166" s="47" t="s">
        <v>223</v>
      </c>
      <c r="B166" t="s">
        <v>395</v>
      </c>
      <c r="E166">
        <v>165</v>
      </c>
      <c r="F166" t="s">
        <v>200</v>
      </c>
      <c r="G166" t="s">
        <v>1101</v>
      </c>
      <c r="H166" t="s">
        <v>656</v>
      </c>
    </row>
    <row r="167" spans="1:8">
      <c r="A167" s="47" t="s">
        <v>224</v>
      </c>
      <c r="B167" t="s">
        <v>396</v>
      </c>
      <c r="E167">
        <v>166</v>
      </c>
      <c r="F167" t="s">
        <v>201</v>
      </c>
      <c r="G167" t="s">
        <v>1102</v>
      </c>
      <c r="H167" t="s">
        <v>657</v>
      </c>
    </row>
    <row r="168" spans="1:8">
      <c r="A168" s="47" t="s">
        <v>225</v>
      </c>
      <c r="B168" t="s">
        <v>397</v>
      </c>
      <c r="E168">
        <v>167</v>
      </c>
      <c r="F168" t="s">
        <v>202</v>
      </c>
      <c r="G168" t="s">
        <v>1103</v>
      </c>
      <c r="H168" t="s">
        <v>658</v>
      </c>
    </row>
    <row r="169" spans="1:8">
      <c r="A169" s="47" t="s">
        <v>226</v>
      </c>
      <c r="B169" t="s">
        <v>398</v>
      </c>
      <c r="E169">
        <v>168</v>
      </c>
      <c r="F169" t="s">
        <v>203</v>
      </c>
      <c r="G169" t="s">
        <v>1104</v>
      </c>
      <c r="H169" t="s">
        <v>659</v>
      </c>
    </row>
    <row r="170" spans="1:8">
      <c r="A170" s="47" t="s">
        <v>227</v>
      </c>
      <c r="B170" t="s">
        <v>399</v>
      </c>
      <c r="E170">
        <v>169</v>
      </c>
      <c r="F170" t="s">
        <v>204</v>
      </c>
      <c r="G170" t="s">
        <v>1105</v>
      </c>
      <c r="H170" t="s">
        <v>660</v>
      </c>
    </row>
    <row r="171" spans="1:8">
      <c r="A171" s="47" t="s">
        <v>228</v>
      </c>
      <c r="B171" t="s">
        <v>401</v>
      </c>
      <c r="E171">
        <v>170</v>
      </c>
      <c r="F171" t="s">
        <v>205</v>
      </c>
      <c r="G171" t="s">
        <v>1106</v>
      </c>
      <c r="H171" t="s">
        <v>661</v>
      </c>
    </row>
    <row r="172" spans="1:8">
      <c r="A172" s="47" t="s">
        <v>229</v>
      </c>
      <c r="B172" t="s">
        <v>402</v>
      </c>
      <c r="E172">
        <v>171</v>
      </c>
      <c r="F172" t="s">
        <v>208</v>
      </c>
      <c r="G172" t="s">
        <v>1107</v>
      </c>
      <c r="H172" t="s">
        <v>662</v>
      </c>
    </row>
    <row r="173" spans="1:8">
      <c r="A173" s="47" t="s">
        <v>230</v>
      </c>
      <c r="B173" t="s">
        <v>403</v>
      </c>
      <c r="E173">
        <v>172</v>
      </c>
      <c r="F173" t="s">
        <v>210</v>
      </c>
      <c r="G173" t="s">
        <v>1108</v>
      </c>
      <c r="H173" t="s">
        <v>663</v>
      </c>
    </row>
    <row r="174" spans="1:8">
      <c r="A174" s="47" t="s">
        <v>231</v>
      </c>
      <c r="B174" t="s">
        <v>404</v>
      </c>
      <c r="E174">
        <v>173</v>
      </c>
      <c r="F174" t="s">
        <v>721</v>
      </c>
      <c r="G174" t="s">
        <v>1109</v>
      </c>
      <c r="H174" t="s">
        <v>664</v>
      </c>
    </row>
    <row r="175" spans="1:8">
      <c r="A175" s="47" t="s">
        <v>232</v>
      </c>
      <c r="B175" t="s">
        <v>405</v>
      </c>
      <c r="E175">
        <v>174</v>
      </c>
      <c r="F175" t="s">
        <v>213</v>
      </c>
      <c r="G175" t="s">
        <v>1110</v>
      </c>
      <c r="H175" t="s">
        <v>665</v>
      </c>
    </row>
    <row r="176" spans="1:8">
      <c r="A176" s="47"/>
      <c r="B176" t="s">
        <v>406</v>
      </c>
      <c r="E176">
        <v>175</v>
      </c>
      <c r="F176" t="s">
        <v>214</v>
      </c>
      <c r="G176" t="s">
        <v>1111</v>
      </c>
      <c r="H176" t="s">
        <v>666</v>
      </c>
    </row>
    <row r="177" spans="1:8">
      <c r="A177" s="47"/>
      <c r="B177" t="s">
        <v>407</v>
      </c>
      <c r="E177">
        <v>176</v>
      </c>
      <c r="F177" t="s">
        <v>215</v>
      </c>
      <c r="G177" t="s">
        <v>1112</v>
      </c>
      <c r="H177" t="s">
        <v>667</v>
      </c>
    </row>
    <row r="178" spans="1:8">
      <c r="A178" s="47"/>
      <c r="B178" t="s">
        <v>408</v>
      </c>
      <c r="E178">
        <v>177</v>
      </c>
      <c r="F178" t="s">
        <v>216</v>
      </c>
      <c r="G178" t="s">
        <v>1113</v>
      </c>
      <c r="H178" t="s">
        <v>668</v>
      </c>
    </row>
    <row r="179" spans="1:8">
      <c r="A179" s="47"/>
      <c r="B179" t="s">
        <v>409</v>
      </c>
      <c r="E179">
        <v>178</v>
      </c>
      <c r="F179" t="s">
        <v>223</v>
      </c>
      <c r="G179" t="s">
        <v>1114</v>
      </c>
      <c r="H179" t="s">
        <v>669</v>
      </c>
    </row>
    <row r="180" spans="1:8">
      <c r="A180" s="47"/>
      <c r="B180" t="s">
        <v>410</v>
      </c>
      <c r="E180">
        <v>179</v>
      </c>
      <c r="F180" t="s">
        <v>722</v>
      </c>
      <c r="G180" t="s">
        <v>1115</v>
      </c>
      <c r="H180" t="s">
        <v>670</v>
      </c>
    </row>
    <row r="181" spans="1:8">
      <c r="A181" s="47"/>
      <c r="B181" t="s">
        <v>411</v>
      </c>
      <c r="E181">
        <v>180</v>
      </c>
      <c r="F181" t="s">
        <v>723</v>
      </c>
      <c r="G181" t="s">
        <v>1116</v>
      </c>
      <c r="H181" t="s">
        <v>671</v>
      </c>
    </row>
    <row r="182" spans="1:8">
      <c r="A182" s="47"/>
      <c r="B182" t="s">
        <v>412</v>
      </c>
      <c r="E182">
        <v>181</v>
      </c>
      <c r="F182" t="s">
        <v>225</v>
      </c>
      <c r="G182" t="s">
        <v>1117</v>
      </c>
      <c r="H182" t="s">
        <v>672</v>
      </c>
    </row>
    <row r="183" spans="1:8">
      <c r="A183" s="47"/>
      <c r="B183" t="s">
        <v>413</v>
      </c>
      <c r="E183">
        <v>182</v>
      </c>
      <c r="F183" t="s">
        <v>227</v>
      </c>
      <c r="G183" t="s">
        <v>1118</v>
      </c>
      <c r="H183" t="s">
        <v>673</v>
      </c>
    </row>
    <row r="184" spans="1:8">
      <c r="A184" s="47"/>
      <c r="B184" t="s">
        <v>414</v>
      </c>
      <c r="E184">
        <v>183</v>
      </c>
      <c r="F184" t="s">
        <v>229</v>
      </c>
      <c r="G184" t="s">
        <v>1119</v>
      </c>
      <c r="H184" t="s">
        <v>674</v>
      </c>
    </row>
    <row r="185" spans="1:8">
      <c r="A185" s="47"/>
      <c r="B185" t="s">
        <v>415</v>
      </c>
      <c r="E185">
        <v>184</v>
      </c>
      <c r="F185" t="s">
        <v>724</v>
      </c>
      <c r="G185" t="s">
        <v>1120</v>
      </c>
      <c r="H185" t="s">
        <v>675</v>
      </c>
    </row>
    <row r="186" spans="1:8">
      <c r="A186" s="47"/>
      <c r="B186" t="s">
        <v>416</v>
      </c>
      <c r="E186">
        <v>185</v>
      </c>
      <c r="F186" t="s">
        <v>230</v>
      </c>
      <c r="G186" t="s">
        <v>1121</v>
      </c>
      <c r="H186" t="s">
        <v>676</v>
      </c>
    </row>
    <row r="187" spans="1:8">
      <c r="A187" s="47"/>
      <c r="B187" t="s">
        <v>417</v>
      </c>
      <c r="E187">
        <v>186</v>
      </c>
      <c r="F187" t="s">
        <v>725</v>
      </c>
      <c r="G187" t="s">
        <v>1122</v>
      </c>
      <c r="H187" t="s">
        <v>677</v>
      </c>
    </row>
    <row r="188" spans="1:8">
      <c r="A188" s="47"/>
      <c r="B188" t="s">
        <v>418</v>
      </c>
      <c r="E188">
        <v>187</v>
      </c>
      <c r="F188" t="s">
        <v>726</v>
      </c>
      <c r="G188" t="s">
        <v>1123</v>
      </c>
      <c r="H188" t="s">
        <v>678</v>
      </c>
    </row>
    <row r="189" spans="1:8">
      <c r="A189" s="47"/>
      <c r="B189" t="s">
        <v>419</v>
      </c>
      <c r="E189">
        <v>188</v>
      </c>
      <c r="F189" t="s">
        <v>727</v>
      </c>
      <c r="G189" t="s">
        <v>1124</v>
      </c>
      <c r="H189" t="s">
        <v>679</v>
      </c>
    </row>
    <row r="190" spans="1:8">
      <c r="A190" s="47"/>
      <c r="B190" t="s">
        <v>420</v>
      </c>
      <c r="E190">
        <v>189</v>
      </c>
    </row>
    <row r="191" spans="1:8">
      <c r="A191" s="47"/>
      <c r="B191" t="s">
        <v>421</v>
      </c>
      <c r="E191">
        <v>190</v>
      </c>
    </row>
    <row r="192" spans="1:8">
      <c r="A192" s="47"/>
      <c r="B192" t="s">
        <v>422</v>
      </c>
      <c r="E192">
        <v>191</v>
      </c>
    </row>
    <row r="193" spans="1:5">
      <c r="A193" s="47"/>
      <c r="B193" t="s">
        <v>423</v>
      </c>
      <c r="E193">
        <v>192</v>
      </c>
    </row>
    <row r="194" spans="1:5">
      <c r="A194" s="47"/>
      <c r="B194" t="s">
        <v>424</v>
      </c>
      <c r="E194">
        <v>193</v>
      </c>
    </row>
    <row r="195" spans="1:5">
      <c r="A195" s="47"/>
      <c r="B195" t="s">
        <v>425</v>
      </c>
      <c r="E195">
        <v>194</v>
      </c>
    </row>
    <row r="196" spans="1:5">
      <c r="A196" s="47"/>
      <c r="B196" t="s">
        <v>426</v>
      </c>
      <c r="E196">
        <v>195</v>
      </c>
    </row>
    <row r="197" spans="1:5">
      <c r="A197" s="47"/>
      <c r="B197" t="s">
        <v>427</v>
      </c>
      <c r="E197">
        <v>196</v>
      </c>
    </row>
    <row r="198" spans="1:5">
      <c r="A198" s="47"/>
      <c r="B198" t="s">
        <v>428</v>
      </c>
      <c r="E198">
        <v>197</v>
      </c>
    </row>
    <row r="199" spans="1:5">
      <c r="A199" s="47"/>
      <c r="B199" t="s">
        <v>429</v>
      </c>
      <c r="E199">
        <v>198</v>
      </c>
    </row>
    <row r="200" spans="1:5">
      <c r="A200" s="47"/>
      <c r="B200" t="s">
        <v>430</v>
      </c>
      <c r="E200">
        <v>199</v>
      </c>
    </row>
    <row r="201" spans="1:5">
      <c r="A201" s="47"/>
      <c r="B201" t="s">
        <v>431</v>
      </c>
      <c r="E201">
        <v>200</v>
      </c>
    </row>
    <row r="202" spans="1:5">
      <c r="A202" s="47"/>
      <c r="B202" t="s">
        <v>432</v>
      </c>
      <c r="E202">
        <v>201</v>
      </c>
    </row>
    <row r="203" spans="1:5">
      <c r="A203" s="47"/>
      <c r="B203" t="s">
        <v>433</v>
      </c>
      <c r="E203">
        <v>202</v>
      </c>
    </row>
    <row r="204" spans="1:5">
      <c r="A204" s="47"/>
      <c r="B204" t="s">
        <v>434</v>
      </c>
      <c r="E204">
        <v>203</v>
      </c>
    </row>
    <row r="205" spans="1:5">
      <c r="A205" s="47"/>
      <c r="B205" t="s">
        <v>435</v>
      </c>
      <c r="E205">
        <v>204</v>
      </c>
    </row>
    <row r="206" spans="1:5">
      <c r="A206" s="47"/>
      <c r="B206" t="s">
        <v>436</v>
      </c>
      <c r="E206">
        <v>205</v>
      </c>
    </row>
    <row r="207" spans="1:5">
      <c r="A207" s="47"/>
      <c r="B207" t="s">
        <v>437</v>
      </c>
      <c r="E207">
        <v>206</v>
      </c>
    </row>
    <row r="208" spans="1:5">
      <c r="A208" s="47"/>
      <c r="B208" t="s">
        <v>438</v>
      </c>
      <c r="E208">
        <v>207</v>
      </c>
    </row>
    <row r="209" spans="1:5">
      <c r="A209" s="47"/>
      <c r="B209" t="s">
        <v>439</v>
      </c>
      <c r="E209">
        <v>208</v>
      </c>
    </row>
    <row r="210" spans="1:5">
      <c r="A210" s="47"/>
      <c r="B210" t="s">
        <v>440</v>
      </c>
      <c r="E210">
        <v>209</v>
      </c>
    </row>
    <row r="211" spans="1:5">
      <c r="A211" s="47"/>
      <c r="B211" t="s">
        <v>441</v>
      </c>
      <c r="E211">
        <v>210</v>
      </c>
    </row>
    <row r="212" spans="1:5">
      <c r="A212" s="47"/>
      <c r="B212" t="s">
        <v>442</v>
      </c>
      <c r="E212">
        <v>211</v>
      </c>
    </row>
    <row r="213" spans="1:5">
      <c r="A213" s="47"/>
      <c r="B213" t="s">
        <v>443</v>
      </c>
      <c r="E213">
        <v>212</v>
      </c>
    </row>
    <row r="214" spans="1:5">
      <c r="A214" s="47"/>
      <c r="B214" t="s">
        <v>444</v>
      </c>
      <c r="E214">
        <v>213</v>
      </c>
    </row>
    <row r="215" spans="1:5">
      <c r="A215" s="47"/>
      <c r="B215" t="s">
        <v>445</v>
      </c>
      <c r="E215">
        <v>214</v>
      </c>
    </row>
    <row r="216" spans="1:5">
      <c r="A216" s="47"/>
      <c r="B216" t="s">
        <v>446</v>
      </c>
      <c r="E216">
        <v>215</v>
      </c>
    </row>
    <row r="217" spans="1:5">
      <c r="A217" s="47"/>
      <c r="B217" t="s">
        <v>447</v>
      </c>
      <c r="E217">
        <v>216</v>
      </c>
    </row>
    <row r="218" spans="1:5">
      <c r="A218" s="47"/>
      <c r="B218" t="s">
        <v>448</v>
      </c>
      <c r="E218">
        <v>217</v>
      </c>
    </row>
    <row r="219" spans="1:5">
      <c r="A219" s="47"/>
      <c r="B219" t="s">
        <v>449</v>
      </c>
      <c r="E219">
        <v>218</v>
      </c>
    </row>
    <row r="220" spans="1:5">
      <c r="A220" s="47"/>
      <c r="B220" t="s">
        <v>450</v>
      </c>
      <c r="E220">
        <v>219</v>
      </c>
    </row>
    <row r="221" spans="1:5">
      <c r="A221" s="47"/>
      <c r="B221" t="s">
        <v>451</v>
      </c>
      <c r="E221">
        <v>220</v>
      </c>
    </row>
    <row r="222" spans="1:5">
      <c r="A222" s="47"/>
      <c r="B222" t="s">
        <v>452</v>
      </c>
      <c r="E222">
        <v>221</v>
      </c>
    </row>
    <row r="223" spans="1:5">
      <c r="A223" s="47"/>
      <c r="B223" t="s">
        <v>453</v>
      </c>
      <c r="E223">
        <v>222</v>
      </c>
    </row>
    <row r="224" spans="1:5">
      <c r="A224" s="47"/>
      <c r="B224" t="s">
        <v>454</v>
      </c>
      <c r="E224">
        <v>223</v>
      </c>
    </row>
    <row r="225" spans="1:5">
      <c r="A225" s="47"/>
      <c r="B225" t="s">
        <v>455</v>
      </c>
      <c r="E225">
        <v>224</v>
      </c>
    </row>
    <row r="226" spans="1:5">
      <c r="A226" s="47"/>
      <c r="B226" t="s">
        <v>456</v>
      </c>
      <c r="E226">
        <v>225</v>
      </c>
    </row>
    <row r="227" spans="1:5">
      <c r="A227" s="47"/>
      <c r="B227" t="s">
        <v>457</v>
      </c>
      <c r="E227">
        <v>226</v>
      </c>
    </row>
    <row r="228" spans="1:5">
      <c r="A228" s="47"/>
      <c r="B228" t="s">
        <v>458</v>
      </c>
      <c r="E228">
        <v>227</v>
      </c>
    </row>
    <row r="229" spans="1:5">
      <c r="A229" s="47"/>
      <c r="B229" t="s">
        <v>459</v>
      </c>
      <c r="E229">
        <v>228</v>
      </c>
    </row>
    <row r="230" spans="1:5">
      <c r="A230" s="47"/>
      <c r="B230" t="s">
        <v>460</v>
      </c>
      <c r="E230">
        <v>229</v>
      </c>
    </row>
    <row r="231" spans="1:5">
      <c r="A231" s="47"/>
      <c r="B231" t="s">
        <v>461</v>
      </c>
      <c r="E231">
        <v>230</v>
      </c>
    </row>
    <row r="232" spans="1:5">
      <c r="A232" s="47"/>
      <c r="B232" t="s">
        <v>462</v>
      </c>
      <c r="E232">
        <v>231</v>
      </c>
    </row>
    <row r="233" spans="1:5">
      <c r="A233" s="47"/>
      <c r="B233" t="s">
        <v>463</v>
      </c>
      <c r="E233">
        <v>232</v>
      </c>
    </row>
    <row r="234" spans="1:5">
      <c r="A234" s="47"/>
      <c r="B234" t="s">
        <v>464</v>
      </c>
      <c r="E234">
        <v>233</v>
      </c>
    </row>
    <row r="235" spans="1:5">
      <c r="A235" s="47"/>
      <c r="B235" t="s">
        <v>465</v>
      </c>
      <c r="E235">
        <v>234</v>
      </c>
    </row>
    <row r="236" spans="1:5">
      <c r="A236" s="47"/>
      <c r="B236" t="s">
        <v>466</v>
      </c>
      <c r="E236">
        <v>235</v>
      </c>
    </row>
    <row r="237" spans="1:5">
      <c r="A237" s="47"/>
      <c r="B237" t="s">
        <v>467</v>
      </c>
      <c r="E237">
        <v>236</v>
      </c>
    </row>
    <row r="238" spans="1:5">
      <c r="A238" s="47"/>
      <c r="B238" t="s">
        <v>468</v>
      </c>
      <c r="E238">
        <v>237</v>
      </c>
    </row>
    <row r="239" spans="1:5">
      <c r="A239" s="47"/>
      <c r="B239" t="s">
        <v>469</v>
      </c>
      <c r="E239">
        <v>238</v>
      </c>
    </row>
    <row r="240" spans="1:5">
      <c r="A240" s="47"/>
      <c r="B240" t="s">
        <v>470</v>
      </c>
      <c r="E240">
        <v>239</v>
      </c>
    </row>
    <row r="241" spans="1:5">
      <c r="A241" s="47"/>
      <c r="B241" t="s">
        <v>471</v>
      </c>
      <c r="E241">
        <v>240</v>
      </c>
    </row>
    <row r="242" spans="1:5">
      <c r="A242" s="47"/>
      <c r="B242" t="s">
        <v>472</v>
      </c>
      <c r="E242">
        <v>241</v>
      </c>
    </row>
    <row r="243" spans="1:5">
      <c r="A243" s="47"/>
      <c r="B243" t="s">
        <v>473</v>
      </c>
      <c r="E243">
        <v>242</v>
      </c>
    </row>
    <row r="244" spans="1:5">
      <c r="A244" s="47"/>
      <c r="B244" t="s">
        <v>474</v>
      </c>
      <c r="E244">
        <v>243</v>
      </c>
    </row>
    <row r="245" spans="1:5">
      <c r="B245" t="s">
        <v>475</v>
      </c>
      <c r="E245">
        <v>244</v>
      </c>
    </row>
    <row r="246" spans="1:5">
      <c r="B246" t="s">
        <v>476</v>
      </c>
      <c r="E246">
        <v>245</v>
      </c>
    </row>
    <row r="247" spans="1:5">
      <c r="B247" t="s">
        <v>477</v>
      </c>
      <c r="E247">
        <v>246</v>
      </c>
    </row>
    <row r="248" spans="1:5">
      <c r="B248" t="s">
        <v>478</v>
      </c>
      <c r="E248">
        <v>247</v>
      </c>
    </row>
    <row r="249" spans="1:5">
      <c r="B249" t="s">
        <v>479</v>
      </c>
      <c r="E249">
        <v>248</v>
      </c>
    </row>
    <row r="250" spans="1:5">
      <c r="B250" t="s">
        <v>480</v>
      </c>
      <c r="E250">
        <v>249</v>
      </c>
    </row>
    <row r="251" spans="1:5">
      <c r="B251" t="s">
        <v>481</v>
      </c>
      <c r="E251">
        <v>250</v>
      </c>
    </row>
    <row r="252" spans="1:5">
      <c r="B252" t="s">
        <v>482</v>
      </c>
      <c r="E252">
        <v>251</v>
      </c>
    </row>
    <row r="253" spans="1:5">
      <c r="B253" t="s">
        <v>483</v>
      </c>
      <c r="E253">
        <v>252</v>
      </c>
    </row>
    <row r="254" spans="1:5">
      <c r="B254" t="s">
        <v>484</v>
      </c>
      <c r="E254">
        <v>253</v>
      </c>
    </row>
    <row r="255" spans="1:5">
      <c r="E255">
        <v>254</v>
      </c>
    </row>
    <row r="256" spans="1:5">
      <c r="E256">
        <v>255</v>
      </c>
    </row>
    <row r="257" spans="5:5">
      <c r="E257">
        <v>256</v>
      </c>
    </row>
    <row r="258" spans="5:5">
      <c r="E258">
        <v>257</v>
      </c>
    </row>
    <row r="259" spans="5:5">
      <c r="E259">
        <v>258</v>
      </c>
    </row>
    <row r="260" spans="5:5">
      <c r="E260">
        <v>259</v>
      </c>
    </row>
    <row r="261" spans="5:5">
      <c r="E261">
        <v>260</v>
      </c>
    </row>
    <row r="262" spans="5:5">
      <c r="E262">
        <v>261</v>
      </c>
    </row>
    <row r="263" spans="5:5">
      <c r="E263">
        <v>262</v>
      </c>
    </row>
    <row r="264" spans="5:5">
      <c r="E264">
        <v>263</v>
      </c>
    </row>
    <row r="265" spans="5:5">
      <c r="E265">
        <v>264</v>
      </c>
    </row>
    <row r="266" spans="5:5">
      <c r="E266">
        <v>265</v>
      </c>
    </row>
    <row r="267" spans="5:5">
      <c r="E267">
        <v>266</v>
      </c>
    </row>
    <row r="268" spans="5:5">
      <c r="E268">
        <v>267</v>
      </c>
    </row>
    <row r="269" spans="5:5">
      <c r="E269">
        <v>268</v>
      </c>
    </row>
    <row r="270" spans="5:5">
      <c r="E270">
        <v>269</v>
      </c>
    </row>
    <row r="271" spans="5:5">
      <c r="E271">
        <v>270</v>
      </c>
    </row>
    <row r="272" spans="5:5">
      <c r="E272">
        <v>271</v>
      </c>
    </row>
    <row r="273" spans="5:5">
      <c r="E273">
        <v>272</v>
      </c>
    </row>
    <row r="274" spans="5:5">
      <c r="E274">
        <v>273</v>
      </c>
    </row>
    <row r="275" spans="5:5">
      <c r="E275">
        <v>274</v>
      </c>
    </row>
    <row r="276" spans="5:5">
      <c r="E276">
        <v>275</v>
      </c>
    </row>
    <row r="277" spans="5:5">
      <c r="E277">
        <v>276</v>
      </c>
    </row>
    <row r="278" spans="5:5">
      <c r="E278">
        <v>277</v>
      </c>
    </row>
    <row r="279" spans="5:5">
      <c r="E279">
        <v>278</v>
      </c>
    </row>
    <row r="280" spans="5:5">
      <c r="E280">
        <v>279</v>
      </c>
    </row>
    <row r="281" spans="5:5">
      <c r="E281">
        <v>280</v>
      </c>
    </row>
    <row r="282" spans="5:5">
      <c r="E282">
        <v>281</v>
      </c>
    </row>
    <row r="283" spans="5:5">
      <c r="E283">
        <v>282</v>
      </c>
    </row>
    <row r="284" spans="5:5">
      <c r="E284">
        <v>283</v>
      </c>
    </row>
    <row r="285" spans="5:5">
      <c r="E285">
        <v>284</v>
      </c>
    </row>
    <row r="286" spans="5:5">
      <c r="E286">
        <v>285</v>
      </c>
    </row>
    <row r="287" spans="5:5">
      <c r="E287">
        <v>286</v>
      </c>
    </row>
    <row r="288" spans="5:5">
      <c r="E288">
        <v>287</v>
      </c>
    </row>
    <row r="289" spans="5:5">
      <c r="E289">
        <v>288</v>
      </c>
    </row>
    <row r="290" spans="5:5">
      <c r="E290">
        <v>289</v>
      </c>
    </row>
    <row r="291" spans="5:5">
      <c r="E291">
        <v>290</v>
      </c>
    </row>
    <row r="292" spans="5:5">
      <c r="E292">
        <v>291</v>
      </c>
    </row>
    <row r="293" spans="5:5">
      <c r="E293">
        <v>292</v>
      </c>
    </row>
    <row r="294" spans="5:5">
      <c r="E294">
        <v>293</v>
      </c>
    </row>
    <row r="295" spans="5:5">
      <c r="E295">
        <v>294</v>
      </c>
    </row>
    <row r="296" spans="5:5">
      <c r="E296">
        <v>295</v>
      </c>
    </row>
    <row r="297" spans="5:5">
      <c r="E297">
        <v>296</v>
      </c>
    </row>
    <row r="298" spans="5:5">
      <c r="E298">
        <v>297</v>
      </c>
    </row>
    <row r="299" spans="5:5">
      <c r="E299">
        <v>298</v>
      </c>
    </row>
    <row r="300" spans="5:5">
      <c r="E300">
        <v>299</v>
      </c>
    </row>
    <row r="301" spans="5:5">
      <c r="E301">
        <v>300</v>
      </c>
    </row>
    <row r="302" spans="5:5">
      <c r="E302">
        <v>301</v>
      </c>
    </row>
    <row r="303" spans="5:5">
      <c r="E303">
        <v>302</v>
      </c>
    </row>
    <row r="304" spans="5:5">
      <c r="E304">
        <v>303</v>
      </c>
    </row>
    <row r="305" spans="5:5">
      <c r="E305">
        <v>304</v>
      </c>
    </row>
    <row r="306" spans="5:5">
      <c r="E306">
        <v>305</v>
      </c>
    </row>
    <row r="307" spans="5:5">
      <c r="E307">
        <v>306</v>
      </c>
    </row>
    <row r="308" spans="5:5">
      <c r="E308">
        <v>307</v>
      </c>
    </row>
    <row r="309" spans="5:5">
      <c r="E309">
        <v>308</v>
      </c>
    </row>
    <row r="310" spans="5:5">
      <c r="E310">
        <v>309</v>
      </c>
    </row>
    <row r="311" spans="5:5">
      <c r="E311">
        <v>310</v>
      </c>
    </row>
    <row r="312" spans="5:5">
      <c r="E312">
        <v>311</v>
      </c>
    </row>
    <row r="313" spans="5:5">
      <c r="E313">
        <v>312</v>
      </c>
    </row>
    <row r="314" spans="5:5">
      <c r="E314">
        <v>313</v>
      </c>
    </row>
    <row r="315" spans="5:5">
      <c r="E315">
        <v>314</v>
      </c>
    </row>
    <row r="316" spans="5:5">
      <c r="E316">
        <v>315</v>
      </c>
    </row>
    <row r="317" spans="5:5">
      <c r="E317">
        <v>316</v>
      </c>
    </row>
    <row r="318" spans="5:5">
      <c r="E318">
        <v>317</v>
      </c>
    </row>
    <row r="319" spans="5:5">
      <c r="E319">
        <v>318</v>
      </c>
    </row>
    <row r="320" spans="5:5">
      <c r="E320">
        <v>319</v>
      </c>
    </row>
    <row r="321" spans="5:5">
      <c r="E321">
        <v>320</v>
      </c>
    </row>
    <row r="322" spans="5:5">
      <c r="E322">
        <v>321</v>
      </c>
    </row>
    <row r="323" spans="5:5">
      <c r="E323">
        <v>322</v>
      </c>
    </row>
    <row r="324" spans="5:5">
      <c r="E324">
        <v>323</v>
      </c>
    </row>
    <row r="325" spans="5:5">
      <c r="E325">
        <v>324</v>
      </c>
    </row>
    <row r="326" spans="5:5">
      <c r="E326">
        <v>325</v>
      </c>
    </row>
    <row r="327" spans="5:5">
      <c r="E327">
        <v>326</v>
      </c>
    </row>
    <row r="328" spans="5:5">
      <c r="E328">
        <v>327</v>
      </c>
    </row>
    <row r="329" spans="5:5">
      <c r="E329">
        <v>328</v>
      </c>
    </row>
    <row r="330" spans="5:5">
      <c r="E330">
        <v>329</v>
      </c>
    </row>
    <row r="331" spans="5:5">
      <c r="E331">
        <v>330</v>
      </c>
    </row>
    <row r="332" spans="5:5">
      <c r="E332">
        <v>331</v>
      </c>
    </row>
    <row r="333" spans="5:5">
      <c r="E333">
        <v>332</v>
      </c>
    </row>
    <row r="334" spans="5:5">
      <c r="E334">
        <v>333</v>
      </c>
    </row>
    <row r="335" spans="5:5">
      <c r="E335">
        <v>334</v>
      </c>
    </row>
    <row r="336" spans="5:5">
      <c r="E336">
        <v>335</v>
      </c>
    </row>
    <row r="337" spans="5:5">
      <c r="E337">
        <v>336</v>
      </c>
    </row>
    <row r="338" spans="5:5">
      <c r="E338">
        <v>337</v>
      </c>
    </row>
    <row r="339" spans="5:5">
      <c r="E339">
        <v>338</v>
      </c>
    </row>
    <row r="340" spans="5:5">
      <c r="E340">
        <v>339</v>
      </c>
    </row>
    <row r="341" spans="5:5">
      <c r="E341">
        <v>340</v>
      </c>
    </row>
    <row r="342" spans="5:5">
      <c r="E342">
        <v>341</v>
      </c>
    </row>
    <row r="343" spans="5:5">
      <c r="E343">
        <v>342</v>
      </c>
    </row>
    <row r="344" spans="5:5">
      <c r="E344">
        <v>343</v>
      </c>
    </row>
    <row r="345" spans="5:5">
      <c r="E345">
        <v>344</v>
      </c>
    </row>
    <row r="346" spans="5:5">
      <c r="E346">
        <v>345</v>
      </c>
    </row>
    <row r="347" spans="5:5">
      <c r="E347">
        <v>346</v>
      </c>
    </row>
    <row r="348" spans="5:5">
      <c r="E348">
        <v>347</v>
      </c>
    </row>
    <row r="349" spans="5:5">
      <c r="E349">
        <v>348</v>
      </c>
    </row>
    <row r="350" spans="5:5">
      <c r="E350">
        <v>349</v>
      </c>
    </row>
    <row r="351" spans="5:5">
      <c r="E351">
        <v>350</v>
      </c>
    </row>
    <row r="352" spans="5:5">
      <c r="E352">
        <v>351</v>
      </c>
    </row>
    <row r="353" spans="5:5">
      <c r="E353">
        <v>352</v>
      </c>
    </row>
    <row r="354" spans="5:5">
      <c r="E354">
        <v>353</v>
      </c>
    </row>
    <row r="355" spans="5:5">
      <c r="E355">
        <v>354</v>
      </c>
    </row>
    <row r="356" spans="5:5">
      <c r="E356">
        <v>355</v>
      </c>
    </row>
    <row r="357" spans="5:5">
      <c r="E357">
        <v>356</v>
      </c>
    </row>
    <row r="358" spans="5:5">
      <c r="E358">
        <v>357</v>
      </c>
    </row>
    <row r="359" spans="5:5">
      <c r="E359">
        <v>358</v>
      </c>
    </row>
    <row r="360" spans="5:5">
      <c r="E360">
        <v>359</v>
      </c>
    </row>
    <row r="361" spans="5:5">
      <c r="E361">
        <v>360</v>
      </c>
    </row>
    <row r="362" spans="5:5">
      <c r="E362">
        <v>361</v>
      </c>
    </row>
    <row r="363" spans="5:5">
      <c r="E363">
        <v>362</v>
      </c>
    </row>
    <row r="364" spans="5:5">
      <c r="E364">
        <v>363</v>
      </c>
    </row>
    <row r="365" spans="5:5">
      <c r="E365">
        <v>364</v>
      </c>
    </row>
    <row r="366" spans="5:5">
      <c r="E366">
        <v>365</v>
      </c>
    </row>
    <row r="367" spans="5:5">
      <c r="E367">
        <v>366</v>
      </c>
    </row>
    <row r="368" spans="5:5">
      <c r="E368">
        <v>367</v>
      </c>
    </row>
    <row r="369" spans="5:5">
      <c r="E369">
        <v>368</v>
      </c>
    </row>
    <row r="370" spans="5:5">
      <c r="E370">
        <v>369</v>
      </c>
    </row>
    <row r="371" spans="5:5">
      <c r="E371">
        <v>370</v>
      </c>
    </row>
    <row r="372" spans="5:5">
      <c r="E372">
        <v>371</v>
      </c>
    </row>
    <row r="373" spans="5:5">
      <c r="E373">
        <v>372</v>
      </c>
    </row>
    <row r="374" spans="5:5">
      <c r="E374">
        <v>373</v>
      </c>
    </row>
    <row r="375" spans="5:5">
      <c r="E375">
        <v>374</v>
      </c>
    </row>
    <row r="376" spans="5:5">
      <c r="E376">
        <v>375</v>
      </c>
    </row>
    <row r="377" spans="5:5">
      <c r="E377">
        <v>376</v>
      </c>
    </row>
    <row r="378" spans="5:5">
      <c r="E378">
        <v>377</v>
      </c>
    </row>
    <row r="379" spans="5:5">
      <c r="E379">
        <v>378</v>
      </c>
    </row>
    <row r="380" spans="5:5">
      <c r="E380">
        <v>379</v>
      </c>
    </row>
    <row r="381" spans="5:5">
      <c r="E381">
        <v>380</v>
      </c>
    </row>
    <row r="382" spans="5:5">
      <c r="E382">
        <v>381</v>
      </c>
    </row>
    <row r="383" spans="5:5">
      <c r="E383">
        <v>382</v>
      </c>
    </row>
    <row r="384" spans="5:5">
      <c r="E384">
        <v>383</v>
      </c>
    </row>
    <row r="385" spans="5:5">
      <c r="E385">
        <v>384</v>
      </c>
    </row>
    <row r="386" spans="5:5">
      <c r="E386">
        <v>385</v>
      </c>
    </row>
    <row r="387" spans="5:5">
      <c r="E387">
        <v>386</v>
      </c>
    </row>
    <row r="388" spans="5:5">
      <c r="E388">
        <v>387</v>
      </c>
    </row>
    <row r="389" spans="5:5">
      <c r="E389">
        <v>388</v>
      </c>
    </row>
    <row r="390" spans="5:5">
      <c r="E390">
        <v>389</v>
      </c>
    </row>
    <row r="391" spans="5:5">
      <c r="E391">
        <v>390</v>
      </c>
    </row>
    <row r="392" spans="5:5">
      <c r="E392">
        <v>391</v>
      </c>
    </row>
    <row r="393" spans="5:5">
      <c r="E393">
        <v>392</v>
      </c>
    </row>
    <row r="394" spans="5:5">
      <c r="E394">
        <v>393</v>
      </c>
    </row>
    <row r="395" spans="5:5">
      <c r="E395">
        <v>394</v>
      </c>
    </row>
    <row r="396" spans="5:5">
      <c r="E396">
        <v>395</v>
      </c>
    </row>
    <row r="397" spans="5:5">
      <c r="E397">
        <v>396</v>
      </c>
    </row>
    <row r="398" spans="5:5">
      <c r="E398">
        <v>397</v>
      </c>
    </row>
    <row r="399" spans="5:5">
      <c r="E399">
        <v>398</v>
      </c>
    </row>
    <row r="400" spans="5:5">
      <c r="E400">
        <v>399</v>
      </c>
    </row>
    <row r="401" spans="5:5">
      <c r="E401">
        <v>400</v>
      </c>
    </row>
    <row r="402" spans="5:5">
      <c r="E402">
        <v>401</v>
      </c>
    </row>
    <row r="403" spans="5:5">
      <c r="E403">
        <v>402</v>
      </c>
    </row>
    <row r="404" spans="5:5">
      <c r="E404">
        <v>403</v>
      </c>
    </row>
    <row r="405" spans="5:5">
      <c r="E405">
        <v>404</v>
      </c>
    </row>
    <row r="406" spans="5:5">
      <c r="E406">
        <v>405</v>
      </c>
    </row>
    <row r="407" spans="5:5">
      <c r="E407">
        <v>406</v>
      </c>
    </row>
    <row r="408" spans="5:5">
      <c r="E408">
        <v>407</v>
      </c>
    </row>
    <row r="409" spans="5:5">
      <c r="E409">
        <v>408</v>
      </c>
    </row>
    <row r="410" spans="5:5">
      <c r="E410">
        <v>409</v>
      </c>
    </row>
    <row r="411" spans="5:5">
      <c r="E411">
        <v>410</v>
      </c>
    </row>
    <row r="412" spans="5:5">
      <c r="E412">
        <v>411</v>
      </c>
    </row>
    <row r="413" spans="5:5">
      <c r="E413">
        <v>412</v>
      </c>
    </row>
    <row r="414" spans="5:5">
      <c r="E414">
        <v>413</v>
      </c>
    </row>
    <row r="415" spans="5:5">
      <c r="E415">
        <v>414</v>
      </c>
    </row>
    <row r="416" spans="5:5">
      <c r="E416">
        <v>415</v>
      </c>
    </row>
    <row r="417" spans="5:5">
      <c r="E417">
        <v>416</v>
      </c>
    </row>
    <row r="418" spans="5:5">
      <c r="E418">
        <v>417</v>
      </c>
    </row>
    <row r="419" spans="5:5">
      <c r="E419">
        <v>418</v>
      </c>
    </row>
    <row r="420" spans="5:5">
      <c r="E420">
        <v>419</v>
      </c>
    </row>
    <row r="421" spans="5:5">
      <c r="E421">
        <v>420</v>
      </c>
    </row>
    <row r="422" spans="5:5">
      <c r="E422">
        <v>421</v>
      </c>
    </row>
    <row r="423" spans="5:5">
      <c r="E423">
        <v>422</v>
      </c>
    </row>
    <row r="424" spans="5:5">
      <c r="E424">
        <v>423</v>
      </c>
    </row>
    <row r="425" spans="5:5">
      <c r="E425">
        <v>424</v>
      </c>
    </row>
    <row r="426" spans="5:5">
      <c r="E426">
        <v>425</v>
      </c>
    </row>
    <row r="427" spans="5:5">
      <c r="E427">
        <v>426</v>
      </c>
    </row>
    <row r="428" spans="5:5">
      <c r="E428">
        <v>427</v>
      </c>
    </row>
    <row r="429" spans="5:5">
      <c r="E429">
        <v>428</v>
      </c>
    </row>
    <row r="430" spans="5:5">
      <c r="E430">
        <v>429</v>
      </c>
    </row>
    <row r="431" spans="5:5">
      <c r="E431">
        <v>430</v>
      </c>
    </row>
    <row r="432" spans="5:5">
      <c r="E432">
        <v>431</v>
      </c>
    </row>
    <row r="433" spans="5:5">
      <c r="E433">
        <v>432</v>
      </c>
    </row>
    <row r="434" spans="5:5">
      <c r="E434">
        <v>433</v>
      </c>
    </row>
    <row r="435" spans="5:5">
      <c r="E435">
        <v>434</v>
      </c>
    </row>
    <row r="436" spans="5:5">
      <c r="E436">
        <v>435</v>
      </c>
    </row>
    <row r="437" spans="5:5">
      <c r="E437">
        <v>436</v>
      </c>
    </row>
    <row r="438" spans="5:5">
      <c r="E438">
        <v>437</v>
      </c>
    </row>
    <row r="439" spans="5:5">
      <c r="E439">
        <v>438</v>
      </c>
    </row>
    <row r="440" spans="5:5">
      <c r="E440">
        <v>439</v>
      </c>
    </row>
    <row r="441" spans="5:5">
      <c r="E441">
        <v>440</v>
      </c>
    </row>
    <row r="442" spans="5:5">
      <c r="E442">
        <v>441</v>
      </c>
    </row>
    <row r="443" spans="5:5">
      <c r="E443">
        <v>442</v>
      </c>
    </row>
    <row r="444" spans="5:5">
      <c r="E444">
        <v>443</v>
      </c>
    </row>
    <row r="445" spans="5:5">
      <c r="E445">
        <v>444</v>
      </c>
    </row>
    <row r="446" spans="5:5">
      <c r="E446">
        <v>445</v>
      </c>
    </row>
    <row r="447" spans="5:5">
      <c r="E447">
        <v>446</v>
      </c>
    </row>
    <row r="448" spans="5:5">
      <c r="E448">
        <v>447</v>
      </c>
    </row>
    <row r="449" spans="5:5">
      <c r="E449">
        <v>448</v>
      </c>
    </row>
    <row r="450" spans="5:5">
      <c r="E450">
        <v>449</v>
      </c>
    </row>
    <row r="451" spans="5:5">
      <c r="E451">
        <v>450</v>
      </c>
    </row>
    <row r="452" spans="5:5">
      <c r="E452">
        <v>451</v>
      </c>
    </row>
    <row r="453" spans="5:5">
      <c r="E453">
        <v>452</v>
      </c>
    </row>
    <row r="454" spans="5:5">
      <c r="E454">
        <v>453</v>
      </c>
    </row>
    <row r="455" spans="5:5">
      <c r="E455">
        <v>454</v>
      </c>
    </row>
    <row r="456" spans="5:5">
      <c r="E456">
        <v>455</v>
      </c>
    </row>
    <row r="457" spans="5:5">
      <c r="E457">
        <v>456</v>
      </c>
    </row>
    <row r="458" spans="5:5">
      <c r="E458">
        <v>457</v>
      </c>
    </row>
    <row r="459" spans="5:5">
      <c r="E459">
        <v>458</v>
      </c>
    </row>
    <row r="460" spans="5:5">
      <c r="E460">
        <v>459</v>
      </c>
    </row>
    <row r="461" spans="5:5">
      <c r="E461">
        <v>460</v>
      </c>
    </row>
    <row r="462" spans="5:5">
      <c r="E462">
        <v>461</v>
      </c>
    </row>
    <row r="463" spans="5:5">
      <c r="E463">
        <v>462</v>
      </c>
    </row>
    <row r="464" spans="5:5">
      <c r="E464">
        <v>463</v>
      </c>
    </row>
    <row r="465" spans="5:5">
      <c r="E465">
        <v>464</v>
      </c>
    </row>
    <row r="466" spans="5:5">
      <c r="E466">
        <v>465</v>
      </c>
    </row>
    <row r="467" spans="5:5">
      <c r="E467">
        <v>466</v>
      </c>
    </row>
    <row r="468" spans="5:5">
      <c r="E468">
        <v>467</v>
      </c>
    </row>
    <row r="469" spans="5:5">
      <c r="E469">
        <v>468</v>
      </c>
    </row>
    <row r="470" spans="5:5">
      <c r="E470">
        <v>469</v>
      </c>
    </row>
    <row r="471" spans="5:5">
      <c r="E471">
        <v>470</v>
      </c>
    </row>
    <row r="472" spans="5:5">
      <c r="E472">
        <v>471</v>
      </c>
    </row>
    <row r="473" spans="5:5">
      <c r="E473">
        <v>472</v>
      </c>
    </row>
    <row r="474" spans="5:5">
      <c r="E474">
        <v>473</v>
      </c>
    </row>
    <row r="475" spans="5:5">
      <c r="E475">
        <v>474</v>
      </c>
    </row>
    <row r="476" spans="5:5">
      <c r="E476">
        <v>475</v>
      </c>
    </row>
    <row r="477" spans="5:5">
      <c r="E477">
        <v>476</v>
      </c>
    </row>
    <row r="478" spans="5:5">
      <c r="E478">
        <v>477</v>
      </c>
    </row>
    <row r="479" spans="5:5">
      <c r="E479">
        <v>478</v>
      </c>
    </row>
    <row r="480" spans="5:5">
      <c r="E480">
        <v>479</v>
      </c>
    </row>
    <row r="481" spans="5:5">
      <c r="E481">
        <v>480</v>
      </c>
    </row>
    <row r="482" spans="5:5">
      <c r="E482">
        <v>481</v>
      </c>
    </row>
    <row r="483" spans="5:5">
      <c r="E483">
        <v>482</v>
      </c>
    </row>
    <row r="484" spans="5:5">
      <c r="E484">
        <v>483</v>
      </c>
    </row>
    <row r="485" spans="5:5">
      <c r="E485">
        <v>484</v>
      </c>
    </row>
    <row r="486" spans="5:5">
      <c r="E486">
        <v>485</v>
      </c>
    </row>
    <row r="487" spans="5:5">
      <c r="E487">
        <v>486</v>
      </c>
    </row>
    <row r="488" spans="5:5">
      <c r="E488">
        <v>487</v>
      </c>
    </row>
    <row r="489" spans="5:5">
      <c r="E489">
        <v>488</v>
      </c>
    </row>
    <row r="490" spans="5:5">
      <c r="E490">
        <v>489</v>
      </c>
    </row>
    <row r="491" spans="5:5">
      <c r="E491">
        <v>490</v>
      </c>
    </row>
    <row r="492" spans="5:5">
      <c r="E492">
        <v>491</v>
      </c>
    </row>
    <row r="493" spans="5:5">
      <c r="E493">
        <v>492</v>
      </c>
    </row>
    <row r="494" spans="5:5">
      <c r="E494">
        <v>493</v>
      </c>
    </row>
    <row r="495" spans="5:5">
      <c r="E495">
        <v>494</v>
      </c>
    </row>
    <row r="496" spans="5:5">
      <c r="E496">
        <v>495</v>
      </c>
    </row>
    <row r="497" spans="5:5">
      <c r="E497">
        <v>496</v>
      </c>
    </row>
    <row r="498" spans="5:5">
      <c r="E498">
        <v>497</v>
      </c>
    </row>
    <row r="499" spans="5:5">
      <c r="E499">
        <v>498</v>
      </c>
    </row>
    <row r="500" spans="5:5">
      <c r="E500">
        <v>499</v>
      </c>
    </row>
    <row r="501" spans="5:5">
      <c r="E501">
        <v>500</v>
      </c>
    </row>
  </sheetData>
  <sortState xmlns:xlrd2="http://schemas.microsoft.com/office/spreadsheetml/2017/richdata2" ref="O2:Q62">
    <sortCondition ref="O2:O62"/>
  </sortState>
  <pageMargins left="0.7" right="0.7" top="0.75" bottom="0.75" header="0.3" footer="0.3"/>
  <pageSetup orientation="portrait" r:id="rId1"/>
  <headerFooter>
    <oddHeader>&amp;L&amp;"Calibri"&amp;10&amp;K000000CLASSIFICATION: C1 - CONTROLLED&amp;1#</oddHeader>
  </headerFooter>
</worksheet>
</file>

<file path=docMetadata/LabelInfo.xml><?xml version="1.0" encoding="utf-8"?>
<clbl:labelList xmlns:clbl="http://schemas.microsoft.com/office/2020/mipLabelMetadata">
  <clbl:label id="{a20328fc-7558-4cdc-b167-5c14e2f648d5}" enabled="1" method="Privileged" siteId="{d9c7995d-4c06-40b7-829c-3921bdc751ed}"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9</vt:i4>
      </vt:variant>
    </vt:vector>
  </HeadingPairs>
  <TitlesOfParts>
    <vt:vector size="19" baseType="lpstr">
      <vt:lpstr>MAIN SHEET</vt:lpstr>
      <vt:lpstr>MAIN SHEET (2)</vt:lpstr>
      <vt:lpstr>MAIN SHEET (3)</vt:lpstr>
      <vt:lpstr>MAIN SHEET (4)</vt:lpstr>
      <vt:lpstr>MAIN SHEET (5)</vt:lpstr>
      <vt:lpstr>MAIN SHEET (6)</vt:lpstr>
      <vt:lpstr>MAIN SHEET (7)</vt:lpstr>
      <vt:lpstr>MAIN SHEET (8)</vt:lpstr>
      <vt:lpstr>MAIN SHEET (9)</vt:lpstr>
      <vt:lpstr>Validation Lists</vt:lpstr>
      <vt:lpstr>'MAIN SHEET'!Print_Area</vt:lpstr>
      <vt:lpstr>'MAIN SHEET (2)'!Print_Area</vt:lpstr>
      <vt:lpstr>'MAIN SHEET (3)'!Print_Area</vt:lpstr>
      <vt:lpstr>'MAIN SHEET (4)'!Print_Area</vt:lpstr>
      <vt:lpstr>'MAIN SHEET (5)'!Print_Area</vt:lpstr>
      <vt:lpstr>'MAIN SHEET (6)'!Print_Area</vt:lpstr>
      <vt:lpstr>'MAIN SHEET (7)'!Print_Area</vt:lpstr>
      <vt:lpstr>'MAIN SHEET (8)'!Print_Area</vt:lpstr>
      <vt:lpstr>'MAIN SHEET (9)'!Print_Area</vt:lpstr>
    </vt:vector>
  </TitlesOfParts>
  <Company>QGPC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supervisor</dc:creator>
  <cp:lastModifiedBy>Maheshaanand J</cp:lastModifiedBy>
  <cp:lastPrinted>2025-08-19T09:30:29Z</cp:lastPrinted>
  <dcterms:created xsi:type="dcterms:W3CDTF">1996-11-19T10:52:19Z</dcterms:created>
  <dcterms:modified xsi:type="dcterms:W3CDTF">2026-01-02T10:34:38Z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edaf50a-78ed-480b-a2a3-10cc196ad946_Enabled">
    <vt:lpwstr>true</vt:lpwstr>
  </property>
  <property fmtid="{D5CDD505-2E9C-101B-9397-08002B2CF9AE}" pid="3" name="MSIP_Label_2edaf50a-78ed-480b-a2a3-10cc196ad946_SetDate">
    <vt:lpwstr>2022-03-09T08:46:12Z</vt:lpwstr>
  </property>
  <property fmtid="{D5CDD505-2E9C-101B-9397-08002B2CF9AE}" pid="4" name="MSIP_Label_2edaf50a-78ed-480b-a2a3-10cc196ad946_Method">
    <vt:lpwstr>Privileged</vt:lpwstr>
  </property>
  <property fmtid="{D5CDD505-2E9C-101B-9397-08002B2CF9AE}" pid="5" name="MSIP_Label_2edaf50a-78ed-480b-a2a3-10cc196ad946_Name">
    <vt:lpwstr>C1 - CONTROLLED</vt:lpwstr>
  </property>
  <property fmtid="{D5CDD505-2E9C-101B-9397-08002B2CF9AE}" pid="6" name="MSIP_Label_2edaf50a-78ed-480b-a2a3-10cc196ad946_SiteId">
    <vt:lpwstr>22e9f6b1-8d64-4327-9344-7495608a7368</vt:lpwstr>
  </property>
  <property fmtid="{D5CDD505-2E9C-101B-9397-08002B2CF9AE}" pid="7" name="MSIP_Label_2edaf50a-78ed-480b-a2a3-10cc196ad946_ActionId">
    <vt:lpwstr>ece0492e-68ef-47d2-a80b-2780cae50de3</vt:lpwstr>
  </property>
  <property fmtid="{D5CDD505-2E9C-101B-9397-08002B2CF9AE}" pid="8" name="MSIP_Label_2edaf50a-78ed-480b-a2a3-10cc196ad946_ContentBits">
    <vt:lpwstr>1</vt:lpwstr>
  </property>
</Properties>
</file>